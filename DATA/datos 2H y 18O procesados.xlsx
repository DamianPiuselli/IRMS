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working\waccache\CP1PEPF00025AD6\EXCELCNV\518f4ff7-ce3e-428f-8cc5-266b03601b0e\"/>
    </mc:Choice>
  </mc:AlternateContent>
  <xr:revisionPtr revIDLastSave="0" documentId="8_{E026FF92-B114-451B-9BCE-11C0D8AE6D37}" xr6:coauthVersionLast="47" xr6:coauthVersionMax="47" xr10:uidLastSave="{00000000-0000-0000-0000-000000000000}"/>
  <bookViews>
    <workbookView xWindow="-60" yWindow="-60" windowWidth="15480" windowHeight="11640" firstSheet="8" activeTab="1" xr2:uid="{00000000-000D-0000-FFFF-FFFF00000000}"/>
  </bookViews>
  <sheets>
    <sheet name="2H.wke" sheetId="1" r:id="rId1"/>
    <sheet name="18O.wke" sheetId="2" r:id="rId2"/>
    <sheet name="Deriva" sheetId="3" r:id="rId3"/>
    <sheet name="2H filtrado" sheetId="4" r:id="rId4"/>
    <sheet name="18O filtrado" sheetId="5" r:id="rId5"/>
    <sheet name="2H proc" sheetId="6" r:id="rId6"/>
    <sheet name="18O proc" sheetId="7" r:id="rId7"/>
    <sheet name="2H VS 18O" sheetId="8" r:id="rId8"/>
    <sheet name="para informe" sheetId="11" r:id="rId9"/>
    <sheet name="incertidumbre kragten 2H" sheetId="9" r:id="rId10"/>
    <sheet name="incertidumbre kragten 18O" sheetId="10" r:id="rId11"/>
  </sheets>
  <definedNames>
    <definedName name="_xlnm._FilterDatabase" localSheetId="1" hidden="1">'18O.wke'!$A$1:$P$376</definedName>
    <definedName name="_xlnm._FilterDatabase" localSheetId="0" hidden="1">'2H.wke'!$A$1:$N$379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2" i="11"/>
  <c r="C9" i="10"/>
  <c r="C7" i="10"/>
  <c r="C11" i="10"/>
  <c r="C5" i="10"/>
  <c r="A32" i="7"/>
  <c r="B32" i="7"/>
  <c r="C32" i="7"/>
  <c r="D32" i="7"/>
  <c r="A33" i="7"/>
  <c r="B33" i="7"/>
  <c r="C33" i="7"/>
  <c r="D33" i="7"/>
  <c r="A34" i="7"/>
  <c r="B34" i="7"/>
  <c r="C34" i="7"/>
  <c r="D34" i="7"/>
  <c r="A35" i="7"/>
  <c r="B35" i="7"/>
  <c r="C35" i="7"/>
  <c r="D35" i="7"/>
  <c r="A36" i="7"/>
  <c r="B36" i="7"/>
  <c r="C36" i="7"/>
  <c r="D36" i="7"/>
  <c r="A37" i="7"/>
  <c r="B37" i="7"/>
  <c r="C37" i="7"/>
  <c r="D37" i="7"/>
  <c r="A38" i="7"/>
  <c r="B38" i="7"/>
  <c r="C38" i="7"/>
  <c r="D38" i="7"/>
  <c r="A39" i="7"/>
  <c r="B39" i="7"/>
  <c r="C39" i="7"/>
  <c r="D39" i="7"/>
  <c r="A40" i="7"/>
  <c r="B40" i="7"/>
  <c r="C40" i="7"/>
  <c r="D40" i="7"/>
  <c r="A41" i="7"/>
  <c r="B41" i="7"/>
  <c r="C41" i="7"/>
  <c r="D41" i="7"/>
  <c r="A42" i="7"/>
  <c r="B42" i="7"/>
  <c r="C42" i="7"/>
  <c r="D42" i="7"/>
  <c r="A43" i="7"/>
  <c r="B43" i="7"/>
  <c r="C43" i="7"/>
  <c r="D43" i="7"/>
  <c r="A44" i="7"/>
  <c r="B44" i="7"/>
  <c r="C44" i="7"/>
  <c r="D44" i="7"/>
  <c r="A45" i="7"/>
  <c r="B45" i="7"/>
  <c r="C45" i="7"/>
  <c r="D45" i="7"/>
  <c r="A46" i="7"/>
  <c r="B46" i="7"/>
  <c r="C46" i="7"/>
  <c r="D46" i="7"/>
  <c r="A47" i="7"/>
  <c r="B47" i="7"/>
  <c r="C47" i="7"/>
  <c r="D47" i="7"/>
  <c r="A48" i="7"/>
  <c r="B48" i="7"/>
  <c r="C48" i="7"/>
  <c r="D48" i="7"/>
  <c r="A49" i="7"/>
  <c r="B49" i="7"/>
  <c r="C49" i="7"/>
  <c r="D49" i="7"/>
  <c r="A50" i="7"/>
  <c r="B50" i="7"/>
  <c r="C50" i="7"/>
  <c r="D50" i="7"/>
  <c r="A51" i="7"/>
  <c r="B51" i="7"/>
  <c r="C51" i="7"/>
  <c r="D51" i="7"/>
  <c r="A52" i="7"/>
  <c r="B52" i="7"/>
  <c r="C52" i="7"/>
  <c r="D52" i="7"/>
  <c r="A53" i="7"/>
  <c r="B53" i="7"/>
  <c r="C53" i="7"/>
  <c r="D53" i="7"/>
  <c r="A54" i="7"/>
  <c r="B54" i="7"/>
  <c r="C54" i="7"/>
  <c r="D54" i="7"/>
  <c r="A55" i="7"/>
  <c r="B55" i="7"/>
  <c r="C55" i="7"/>
  <c r="D55" i="7"/>
  <c r="A56" i="7"/>
  <c r="B56" i="7"/>
  <c r="C56" i="7"/>
  <c r="D56" i="7"/>
  <c r="A57" i="7"/>
  <c r="B57" i="7"/>
  <c r="C57" i="7"/>
  <c r="D57" i="7"/>
  <c r="A58" i="7"/>
  <c r="B58" i="7"/>
  <c r="C58" i="7"/>
  <c r="D58" i="7"/>
  <c r="A59" i="7"/>
  <c r="B59" i="7"/>
  <c r="C59" i="7"/>
  <c r="D59" i="7"/>
  <c r="A60" i="7"/>
  <c r="B60" i="7"/>
  <c r="C60" i="7"/>
  <c r="D60" i="7"/>
  <c r="A61" i="7"/>
  <c r="B61" i="7"/>
  <c r="C61" i="7"/>
  <c r="D61" i="7"/>
  <c r="A62" i="7"/>
  <c r="B62" i="7"/>
  <c r="C62" i="7"/>
  <c r="D62" i="7"/>
  <c r="A63" i="7"/>
  <c r="B63" i="7"/>
  <c r="C63" i="7"/>
  <c r="D63" i="7"/>
  <c r="A64" i="7"/>
  <c r="B64" i="7"/>
  <c r="C64" i="7"/>
  <c r="D64" i="7"/>
  <c r="A65" i="7"/>
  <c r="B65" i="7"/>
  <c r="C65" i="7"/>
  <c r="D65" i="7"/>
  <c r="A66" i="7"/>
  <c r="B66" i="7"/>
  <c r="C66" i="7"/>
  <c r="D66" i="7"/>
  <c r="A67" i="7"/>
  <c r="B67" i="7"/>
  <c r="C67" i="7"/>
  <c r="D67" i="7"/>
  <c r="A68" i="7"/>
  <c r="B68" i="7"/>
  <c r="C68" i="7"/>
  <c r="D68" i="7"/>
  <c r="A69" i="7"/>
  <c r="B69" i="7"/>
  <c r="C69" i="7"/>
  <c r="D69" i="7"/>
  <c r="A70" i="7"/>
  <c r="B70" i="7"/>
  <c r="C70" i="7"/>
  <c r="D70" i="7"/>
  <c r="A71" i="7"/>
  <c r="B71" i="7"/>
  <c r="C71" i="7"/>
  <c r="D71" i="7"/>
  <c r="A72" i="7"/>
  <c r="B72" i="7"/>
  <c r="C72" i="7"/>
  <c r="D72" i="7"/>
  <c r="A73" i="7"/>
  <c r="B73" i="7"/>
  <c r="C73" i="7"/>
  <c r="D73" i="7"/>
  <c r="A74" i="7"/>
  <c r="B74" i="7"/>
  <c r="C74" i="7"/>
  <c r="D74" i="7"/>
  <c r="A75" i="7"/>
  <c r="B75" i="7"/>
  <c r="C75" i="7"/>
  <c r="D75" i="7"/>
  <c r="A76" i="7"/>
  <c r="B76" i="7"/>
  <c r="C76" i="7"/>
  <c r="D76" i="7"/>
  <c r="A77" i="7"/>
  <c r="B77" i="7"/>
  <c r="C77" i="7"/>
  <c r="D77" i="7"/>
  <c r="A78" i="7"/>
  <c r="B78" i="7"/>
  <c r="C78" i="7"/>
  <c r="D78" i="7"/>
  <c r="A79" i="7"/>
  <c r="B79" i="7"/>
  <c r="C79" i="7"/>
  <c r="D79" i="7"/>
  <c r="A80" i="7"/>
  <c r="B80" i="7"/>
  <c r="C80" i="7"/>
  <c r="D80" i="7"/>
  <c r="A81" i="7"/>
  <c r="B81" i="7"/>
  <c r="C81" i="7"/>
  <c r="D81" i="7"/>
  <c r="A82" i="7"/>
  <c r="B82" i="7"/>
  <c r="C82" i="7"/>
  <c r="D82" i="7"/>
  <c r="A83" i="7"/>
  <c r="B83" i="7"/>
  <c r="C83" i="7"/>
  <c r="D83" i="7"/>
  <c r="A84" i="7"/>
  <c r="B84" i="7"/>
  <c r="C84" i="7"/>
  <c r="D84" i="7"/>
  <c r="A85" i="7"/>
  <c r="B85" i="7"/>
  <c r="C85" i="7"/>
  <c r="D85" i="7"/>
  <c r="A86" i="7"/>
  <c r="B86" i="7"/>
  <c r="C86" i="7"/>
  <c r="D86" i="7"/>
  <c r="A87" i="7"/>
  <c r="B87" i="7"/>
  <c r="C87" i="7"/>
  <c r="D87" i="7"/>
  <c r="A88" i="7"/>
  <c r="B88" i="7"/>
  <c r="C88" i="7"/>
  <c r="D88" i="7"/>
  <c r="A89" i="7"/>
  <c r="B89" i="7"/>
  <c r="C89" i="7"/>
  <c r="D89" i="7"/>
  <c r="A90" i="7"/>
  <c r="B90" i="7"/>
  <c r="C90" i="7"/>
  <c r="D90" i="7"/>
  <c r="A91" i="7"/>
  <c r="B91" i="7"/>
  <c r="C91" i="7"/>
  <c r="D91" i="7"/>
  <c r="A92" i="7"/>
  <c r="B92" i="7"/>
  <c r="C92" i="7"/>
  <c r="D92" i="7"/>
  <c r="A93" i="7"/>
  <c r="B93" i="7"/>
  <c r="C93" i="7"/>
  <c r="D93" i="7"/>
  <c r="A94" i="7"/>
  <c r="B94" i="7"/>
  <c r="C94" i="7"/>
  <c r="D94" i="7"/>
  <c r="A95" i="7"/>
  <c r="B95" i="7"/>
  <c r="C95" i="7"/>
  <c r="D95" i="7"/>
  <c r="A96" i="7"/>
  <c r="B96" i="7"/>
  <c r="C96" i="7"/>
  <c r="D96" i="7"/>
  <c r="A97" i="7"/>
  <c r="B97" i="7"/>
  <c r="C97" i="7"/>
  <c r="D97" i="7"/>
  <c r="A98" i="7"/>
  <c r="B98" i="7"/>
  <c r="C98" i="7"/>
  <c r="D98" i="7"/>
  <c r="A99" i="7"/>
  <c r="B99" i="7"/>
  <c r="C99" i="7"/>
  <c r="D99" i="7"/>
  <c r="A100" i="7"/>
  <c r="B100" i="7"/>
  <c r="C100" i="7"/>
  <c r="D100" i="7"/>
  <c r="A101" i="7"/>
  <c r="B101" i="7"/>
  <c r="C101" i="7"/>
  <c r="D101" i="7"/>
  <c r="A102" i="7"/>
  <c r="B102" i="7"/>
  <c r="C102" i="7"/>
  <c r="D102" i="7"/>
  <c r="A103" i="7"/>
  <c r="B103" i="7"/>
  <c r="C103" i="7"/>
  <c r="D103" i="7"/>
  <c r="A104" i="7"/>
  <c r="B104" i="7"/>
  <c r="C104" i="7"/>
  <c r="D104" i="7"/>
  <c r="A105" i="7"/>
  <c r="B105" i="7"/>
  <c r="C105" i="7"/>
  <c r="D105" i="7"/>
  <c r="A106" i="7"/>
  <c r="B106" i="7"/>
  <c r="C106" i="7"/>
  <c r="D106" i="7"/>
  <c r="A107" i="7"/>
  <c r="B107" i="7"/>
  <c r="C107" i="7"/>
  <c r="D107" i="7"/>
  <c r="A108" i="7"/>
  <c r="B108" i="7"/>
  <c r="C108" i="7"/>
  <c r="D108" i="7"/>
  <c r="A109" i="7"/>
  <c r="B109" i="7"/>
  <c r="C109" i="7"/>
  <c r="D109" i="7"/>
  <c r="A110" i="7"/>
  <c r="B110" i="7"/>
  <c r="C110" i="7"/>
  <c r="D110" i="7"/>
  <c r="A111" i="7"/>
  <c r="B111" i="7"/>
  <c r="C111" i="7"/>
  <c r="D111" i="7"/>
  <c r="A112" i="7"/>
  <c r="B112" i="7"/>
  <c r="C112" i="7"/>
  <c r="D112" i="7"/>
  <c r="A113" i="7"/>
  <c r="B113" i="7"/>
  <c r="C113" i="7"/>
  <c r="D113" i="7"/>
  <c r="A114" i="7"/>
  <c r="B114" i="7"/>
  <c r="C114" i="7"/>
  <c r="D114" i="7"/>
  <c r="A115" i="7"/>
  <c r="B115" i="7"/>
  <c r="C115" i="7"/>
  <c r="D115" i="7"/>
  <c r="A116" i="7"/>
  <c r="B116" i="7"/>
  <c r="C116" i="7"/>
  <c r="D116" i="7"/>
  <c r="A117" i="7"/>
  <c r="B117" i="7"/>
  <c r="C117" i="7"/>
  <c r="D117" i="7"/>
  <c r="A118" i="7"/>
  <c r="B118" i="7"/>
  <c r="C118" i="7"/>
  <c r="D118" i="7"/>
  <c r="A119" i="7"/>
  <c r="B119" i="7"/>
  <c r="C119" i="7"/>
  <c r="D119" i="7"/>
  <c r="A120" i="7"/>
  <c r="B120" i="7"/>
  <c r="C120" i="7"/>
  <c r="D120" i="7"/>
  <c r="A121" i="7"/>
  <c r="B121" i="7"/>
  <c r="C121" i="7"/>
  <c r="D121" i="7"/>
  <c r="A122" i="7"/>
  <c r="B122" i="7"/>
  <c r="C122" i="7"/>
  <c r="D122" i="7"/>
  <c r="A123" i="7"/>
  <c r="B123" i="7"/>
  <c r="C123" i="7"/>
  <c r="D123" i="7"/>
  <c r="A124" i="7"/>
  <c r="B124" i="7"/>
  <c r="C124" i="7"/>
  <c r="D124" i="7"/>
  <c r="A125" i="7"/>
  <c r="B125" i="7"/>
  <c r="C125" i="7"/>
  <c r="D125" i="7"/>
  <c r="A126" i="7"/>
  <c r="B126" i="7"/>
  <c r="C126" i="7"/>
  <c r="D126" i="7"/>
  <c r="A127" i="7"/>
  <c r="B127" i="7"/>
  <c r="C127" i="7"/>
  <c r="D127" i="7"/>
  <c r="A128" i="7"/>
  <c r="B128" i="7"/>
  <c r="C128" i="7"/>
  <c r="D128" i="7"/>
  <c r="A129" i="7"/>
  <c r="B129" i="7"/>
  <c r="C129" i="7"/>
  <c r="D129" i="7"/>
  <c r="A130" i="7"/>
  <c r="B130" i="7"/>
  <c r="C130" i="7"/>
  <c r="D130" i="7"/>
  <c r="A131" i="7"/>
  <c r="B131" i="7"/>
  <c r="C131" i="7"/>
  <c r="D131" i="7"/>
  <c r="A132" i="7"/>
  <c r="B132" i="7"/>
  <c r="C132" i="7"/>
  <c r="D132" i="7"/>
  <c r="A133" i="7"/>
  <c r="B133" i="7"/>
  <c r="C133" i="7"/>
  <c r="D133" i="7"/>
  <c r="A134" i="7"/>
  <c r="B134" i="7"/>
  <c r="C134" i="7"/>
  <c r="D134" i="7"/>
  <c r="A135" i="7"/>
  <c r="B135" i="7"/>
  <c r="C135" i="7"/>
  <c r="D135" i="7"/>
  <c r="A136" i="7"/>
  <c r="B136" i="7"/>
  <c r="C136" i="7"/>
  <c r="D136" i="7"/>
  <c r="A137" i="7"/>
  <c r="B137" i="7"/>
  <c r="C137" i="7"/>
  <c r="D137" i="7"/>
  <c r="A138" i="7"/>
  <c r="B138" i="7"/>
  <c r="C138" i="7"/>
  <c r="D138" i="7"/>
  <c r="A139" i="7"/>
  <c r="B139" i="7"/>
  <c r="C139" i="7"/>
  <c r="D139" i="7"/>
  <c r="A140" i="7"/>
  <c r="B140" i="7"/>
  <c r="C140" i="7"/>
  <c r="D140" i="7"/>
  <c r="A141" i="7"/>
  <c r="B141" i="7"/>
  <c r="C141" i="7"/>
  <c r="D141" i="7"/>
  <c r="A142" i="7"/>
  <c r="B142" i="7"/>
  <c r="C142" i="7"/>
  <c r="D142" i="7"/>
  <c r="A143" i="7"/>
  <c r="B143" i="7"/>
  <c r="C143" i="7"/>
  <c r="D143" i="7"/>
  <c r="A144" i="7"/>
  <c r="B144" i="7"/>
  <c r="C144" i="7"/>
  <c r="D144" i="7"/>
  <c r="A145" i="7"/>
  <c r="B145" i="7"/>
  <c r="C145" i="7"/>
  <c r="D145" i="7"/>
  <c r="A146" i="7"/>
  <c r="B146" i="7"/>
  <c r="C146" i="7"/>
  <c r="D146" i="7"/>
  <c r="A147" i="7"/>
  <c r="B147" i="7"/>
  <c r="C147" i="7"/>
  <c r="D147" i="7"/>
  <c r="A148" i="7"/>
  <c r="B148" i="7"/>
  <c r="C148" i="7"/>
  <c r="D148" i="7"/>
  <c r="A149" i="7"/>
  <c r="B149" i="7"/>
  <c r="C149" i="7"/>
  <c r="D149" i="7"/>
  <c r="A150" i="7"/>
  <c r="B150" i="7"/>
  <c r="C150" i="7"/>
  <c r="D150" i="7"/>
  <c r="A151" i="7"/>
  <c r="B151" i="7"/>
  <c r="C151" i="7"/>
  <c r="D151" i="7"/>
  <c r="A152" i="7"/>
  <c r="B152" i="7"/>
  <c r="C152" i="7"/>
  <c r="D152" i="7"/>
  <c r="A153" i="7"/>
  <c r="B153" i="7"/>
  <c r="C153" i="7"/>
  <c r="D153" i="7"/>
  <c r="A154" i="7"/>
  <c r="B154" i="7"/>
  <c r="C154" i="7"/>
  <c r="D154" i="7"/>
  <c r="A155" i="7"/>
  <c r="B155" i="7"/>
  <c r="C155" i="7"/>
  <c r="D155" i="7"/>
  <c r="A156" i="7"/>
  <c r="B156" i="7"/>
  <c r="C156" i="7"/>
  <c r="D156" i="7"/>
  <c r="A157" i="7"/>
  <c r="B157" i="7"/>
  <c r="C157" i="7"/>
  <c r="D157" i="7"/>
  <c r="A158" i="7"/>
  <c r="B158" i="7"/>
  <c r="C158" i="7"/>
  <c r="D158" i="7"/>
  <c r="A159" i="7"/>
  <c r="B159" i="7"/>
  <c r="C159" i="7"/>
  <c r="D159" i="7"/>
  <c r="A160" i="7"/>
  <c r="B160" i="7"/>
  <c r="C160" i="7"/>
  <c r="D160" i="7"/>
  <c r="A161" i="7"/>
  <c r="B161" i="7"/>
  <c r="C161" i="7"/>
  <c r="D161" i="7"/>
  <c r="A162" i="7"/>
  <c r="B162" i="7"/>
  <c r="C162" i="7"/>
  <c r="D162" i="7"/>
  <c r="A163" i="7"/>
  <c r="B163" i="7"/>
  <c r="C163" i="7"/>
  <c r="D163" i="7"/>
  <c r="A164" i="7"/>
  <c r="B164" i="7"/>
  <c r="C164" i="7"/>
  <c r="D164" i="7"/>
  <c r="A165" i="7"/>
  <c r="B165" i="7"/>
  <c r="C165" i="7"/>
  <c r="D165" i="7"/>
  <c r="A166" i="7"/>
  <c r="B166" i="7"/>
  <c r="C166" i="7"/>
  <c r="D166" i="7"/>
  <c r="A167" i="7"/>
  <c r="B167" i="7"/>
  <c r="C167" i="7"/>
  <c r="D167" i="7"/>
  <c r="A168" i="7"/>
  <c r="B168" i="7"/>
  <c r="C168" i="7"/>
  <c r="D168" i="7"/>
  <c r="A169" i="7"/>
  <c r="B169" i="7"/>
  <c r="C169" i="7"/>
  <c r="D169" i="7"/>
  <c r="A170" i="7"/>
  <c r="B170" i="7"/>
  <c r="C170" i="7"/>
  <c r="D170" i="7"/>
  <c r="A171" i="7"/>
  <c r="B171" i="7"/>
  <c r="C171" i="7"/>
  <c r="D171" i="7"/>
  <c r="A172" i="7"/>
  <c r="B172" i="7"/>
  <c r="C172" i="7"/>
  <c r="D172" i="7"/>
  <c r="A173" i="7"/>
  <c r="B173" i="7"/>
  <c r="C173" i="7"/>
  <c r="D173" i="7"/>
  <c r="A174" i="7"/>
  <c r="B174" i="7"/>
  <c r="C174" i="7"/>
  <c r="D174" i="7"/>
  <c r="A175" i="7"/>
  <c r="B175" i="7"/>
  <c r="C175" i="7"/>
  <c r="D175" i="7"/>
  <c r="A176" i="7"/>
  <c r="B176" i="7"/>
  <c r="C176" i="7"/>
  <c r="D176" i="7"/>
  <c r="A177" i="7"/>
  <c r="B177" i="7"/>
  <c r="C177" i="7"/>
  <c r="D177" i="7"/>
  <c r="A178" i="7"/>
  <c r="B178" i="7"/>
  <c r="C178" i="7"/>
  <c r="D178" i="7"/>
  <c r="A179" i="7"/>
  <c r="B179" i="7"/>
  <c r="C179" i="7"/>
  <c r="D179" i="7"/>
  <c r="A180" i="7"/>
  <c r="B180" i="7"/>
  <c r="C180" i="7"/>
  <c r="D180" i="7"/>
  <c r="A181" i="7"/>
  <c r="B181" i="7"/>
  <c r="C181" i="7"/>
  <c r="D181" i="7"/>
  <c r="A182" i="7"/>
  <c r="B182" i="7"/>
  <c r="C182" i="7"/>
  <c r="D182" i="7"/>
  <c r="A183" i="7"/>
  <c r="B183" i="7"/>
  <c r="C183" i="7"/>
  <c r="D183" i="7"/>
  <c r="A184" i="7"/>
  <c r="B184" i="7"/>
  <c r="C184" i="7"/>
  <c r="D184" i="7"/>
  <c r="A185" i="7"/>
  <c r="B185" i="7"/>
  <c r="C185" i="7"/>
  <c r="D185" i="7"/>
  <c r="A186" i="7"/>
  <c r="B186" i="7"/>
  <c r="C186" i="7"/>
  <c r="D186" i="7"/>
  <c r="A187" i="7"/>
  <c r="B187" i="7"/>
  <c r="C187" i="7"/>
  <c r="D187" i="7"/>
  <c r="A188" i="7"/>
  <c r="B188" i="7"/>
  <c r="C188" i="7"/>
  <c r="D188" i="7"/>
  <c r="A189" i="7"/>
  <c r="B189" i="7"/>
  <c r="C189" i="7"/>
  <c r="D189" i="7"/>
  <c r="A190" i="7"/>
  <c r="B190" i="7"/>
  <c r="C190" i="7"/>
  <c r="D190" i="7"/>
  <c r="A191" i="7"/>
  <c r="B191" i="7"/>
  <c r="C191" i="7"/>
  <c r="D191" i="7"/>
  <c r="A192" i="7"/>
  <c r="B192" i="7"/>
  <c r="C192" i="7"/>
  <c r="D192" i="7"/>
  <c r="A193" i="7"/>
  <c r="B193" i="7"/>
  <c r="C193" i="7"/>
  <c r="D193" i="7"/>
  <c r="A194" i="7"/>
  <c r="B194" i="7"/>
  <c r="C194" i="7"/>
  <c r="D194" i="7"/>
  <c r="A195" i="7"/>
  <c r="B195" i="7"/>
  <c r="C195" i="7"/>
  <c r="D195" i="7"/>
  <c r="A196" i="7"/>
  <c r="B196" i="7"/>
  <c r="C196" i="7"/>
  <c r="D196" i="7"/>
  <c r="A197" i="7"/>
  <c r="B197" i="7"/>
  <c r="C197" i="7"/>
  <c r="D197" i="7"/>
  <c r="A198" i="7"/>
  <c r="B198" i="7"/>
  <c r="C198" i="7"/>
  <c r="D198" i="7"/>
  <c r="A199" i="7"/>
  <c r="B199" i="7"/>
  <c r="C199" i="7"/>
  <c r="D199" i="7"/>
  <c r="A200" i="7"/>
  <c r="B200" i="7"/>
  <c r="C200" i="7"/>
  <c r="D200" i="7"/>
  <c r="A201" i="7"/>
  <c r="B201" i="7"/>
  <c r="C201" i="7"/>
  <c r="D201" i="7"/>
  <c r="A202" i="7"/>
  <c r="B202" i="7"/>
  <c r="C202" i="7"/>
  <c r="D202" i="7"/>
  <c r="A203" i="7"/>
  <c r="B203" i="7"/>
  <c r="C203" i="7"/>
  <c r="D203" i="7"/>
  <c r="A204" i="7"/>
  <c r="B204" i="7"/>
  <c r="C204" i="7"/>
  <c r="D204" i="7"/>
  <c r="A205" i="7"/>
  <c r="B205" i="7"/>
  <c r="C205" i="7"/>
  <c r="D205" i="7"/>
  <c r="A206" i="7"/>
  <c r="B206" i="7"/>
  <c r="C206" i="7"/>
  <c r="D206" i="7"/>
  <c r="A207" i="7"/>
  <c r="B207" i="7"/>
  <c r="C207" i="7"/>
  <c r="D207" i="7"/>
  <c r="A208" i="7"/>
  <c r="B208" i="7"/>
  <c r="C208" i="7"/>
  <c r="D208" i="7"/>
  <c r="A209" i="7"/>
  <c r="B209" i="7"/>
  <c r="C209" i="7"/>
  <c r="D209" i="7"/>
  <c r="A210" i="7"/>
  <c r="B210" i="7"/>
  <c r="C210" i="7"/>
  <c r="D210" i="7"/>
  <c r="A211" i="7"/>
  <c r="B211" i="7"/>
  <c r="C211" i="7"/>
  <c r="D211" i="7"/>
  <c r="A212" i="7"/>
  <c r="B212" i="7"/>
  <c r="C212" i="7"/>
  <c r="D212" i="7"/>
  <c r="A213" i="7"/>
  <c r="B213" i="7"/>
  <c r="C213" i="7"/>
  <c r="D213" i="7"/>
  <c r="A214" i="7"/>
  <c r="B214" i="7"/>
  <c r="C214" i="7"/>
  <c r="D214" i="7"/>
  <c r="A215" i="7"/>
  <c r="B215" i="7"/>
  <c r="C215" i="7"/>
  <c r="D215" i="7"/>
  <c r="A216" i="7"/>
  <c r="B216" i="7"/>
  <c r="C216" i="7"/>
  <c r="D216" i="7"/>
  <c r="A217" i="7"/>
  <c r="B217" i="7"/>
  <c r="C217" i="7"/>
  <c r="D217" i="7"/>
  <c r="A218" i="7"/>
  <c r="B218" i="7"/>
  <c r="C218" i="7"/>
  <c r="D218" i="7"/>
  <c r="A219" i="7"/>
  <c r="B219" i="7"/>
  <c r="C219" i="7"/>
  <c r="D219" i="7"/>
  <c r="A220" i="7"/>
  <c r="B220" i="7"/>
  <c r="C220" i="7"/>
  <c r="D220" i="7"/>
  <c r="A221" i="7"/>
  <c r="B221" i="7"/>
  <c r="C221" i="7"/>
  <c r="D221" i="7"/>
  <c r="A222" i="7"/>
  <c r="B222" i="7"/>
  <c r="C222" i="7"/>
  <c r="D222" i="7"/>
  <c r="A223" i="7"/>
  <c r="B223" i="7"/>
  <c r="C223" i="7"/>
  <c r="D223" i="7"/>
  <c r="A224" i="7"/>
  <c r="B224" i="7"/>
  <c r="C224" i="7"/>
  <c r="D224" i="7"/>
  <c r="A225" i="7"/>
  <c r="B225" i="7"/>
  <c r="C225" i="7"/>
  <c r="D225" i="7"/>
  <c r="A226" i="7"/>
  <c r="B226" i="7"/>
  <c r="C226" i="7"/>
  <c r="D226" i="7"/>
  <c r="A227" i="7"/>
  <c r="B227" i="7"/>
  <c r="C227" i="7"/>
  <c r="D227" i="7"/>
  <c r="A228" i="7"/>
  <c r="B228" i="7"/>
  <c r="C228" i="7"/>
  <c r="D228" i="7"/>
  <c r="A229" i="7"/>
  <c r="B229" i="7"/>
  <c r="C229" i="7"/>
  <c r="D229" i="7"/>
  <c r="A230" i="7"/>
  <c r="B230" i="7"/>
  <c r="C230" i="7"/>
  <c r="D230" i="7"/>
  <c r="A231" i="7"/>
  <c r="B231" i="7"/>
  <c r="C231" i="7"/>
  <c r="D231" i="7"/>
  <c r="A232" i="7"/>
  <c r="B232" i="7"/>
  <c r="C232" i="7"/>
  <c r="D232" i="7"/>
  <c r="A233" i="7"/>
  <c r="B233" i="7"/>
  <c r="C233" i="7"/>
  <c r="D233" i="7"/>
  <c r="A234" i="7"/>
  <c r="B234" i="7"/>
  <c r="C234" i="7"/>
  <c r="D234" i="7"/>
  <c r="A235" i="7"/>
  <c r="B235" i="7"/>
  <c r="C235" i="7"/>
  <c r="D235" i="7"/>
  <c r="A236" i="7"/>
  <c r="B236" i="7"/>
  <c r="C236" i="7"/>
  <c r="D236" i="7"/>
  <c r="A237" i="7"/>
  <c r="B237" i="7"/>
  <c r="C237" i="7"/>
  <c r="D237" i="7"/>
  <c r="A238" i="7"/>
  <c r="B238" i="7"/>
  <c r="C238" i="7"/>
  <c r="D238" i="7"/>
  <c r="A239" i="7"/>
  <c r="B239" i="7"/>
  <c r="C239" i="7"/>
  <c r="D239" i="7"/>
  <c r="A240" i="7"/>
  <c r="B240" i="7"/>
  <c r="C240" i="7"/>
  <c r="D240" i="7"/>
  <c r="A241" i="7"/>
  <c r="B241" i="7"/>
  <c r="C241" i="7"/>
  <c r="D241" i="7"/>
  <c r="A242" i="7"/>
  <c r="B242" i="7"/>
  <c r="C242" i="7"/>
  <c r="D242" i="7"/>
  <c r="A243" i="7"/>
  <c r="B243" i="7"/>
  <c r="C243" i="7"/>
  <c r="D243" i="7"/>
  <c r="A244" i="7"/>
  <c r="B244" i="7"/>
  <c r="C244" i="7"/>
  <c r="D244" i="7"/>
  <c r="A245" i="7"/>
  <c r="B245" i="7"/>
  <c r="C245" i="7"/>
  <c r="D245" i="7"/>
  <c r="A246" i="7"/>
  <c r="B246" i="7"/>
  <c r="C246" i="7"/>
  <c r="D246" i="7"/>
  <c r="A247" i="7"/>
  <c r="B247" i="7"/>
  <c r="C247" i="7"/>
  <c r="D247" i="7"/>
  <c r="A248" i="7"/>
  <c r="B248" i="7"/>
  <c r="C248" i="7"/>
  <c r="D248" i="7"/>
  <c r="A249" i="7"/>
  <c r="B249" i="7"/>
  <c r="C249" i="7"/>
  <c r="D249" i="7"/>
  <c r="A250" i="7"/>
  <c r="B250" i="7"/>
  <c r="C250" i="7"/>
  <c r="D250" i="7"/>
  <c r="A251" i="7"/>
  <c r="B251" i="7"/>
  <c r="C251" i="7"/>
  <c r="D251" i="7"/>
  <c r="A252" i="7"/>
  <c r="B252" i="7"/>
  <c r="C252" i="7"/>
  <c r="D252" i="7"/>
  <c r="A253" i="7"/>
  <c r="B253" i="7"/>
  <c r="C253" i="7"/>
  <c r="D253" i="7"/>
  <c r="A254" i="7"/>
  <c r="B254" i="7"/>
  <c r="C254" i="7"/>
  <c r="D254" i="7"/>
  <c r="A255" i="7"/>
  <c r="B255" i="7"/>
  <c r="C255" i="7"/>
  <c r="D255" i="7"/>
  <c r="A256" i="7"/>
  <c r="B256" i="7"/>
  <c r="C256" i="7"/>
  <c r="D256" i="7"/>
  <c r="A257" i="7"/>
  <c r="B257" i="7"/>
  <c r="C257" i="7"/>
  <c r="D257" i="7"/>
  <c r="A258" i="7"/>
  <c r="B258" i="7"/>
  <c r="C258" i="7"/>
  <c r="D258" i="7"/>
  <c r="A259" i="7"/>
  <c r="B259" i="7"/>
  <c r="C259" i="7"/>
  <c r="D259" i="7"/>
  <c r="A260" i="7"/>
  <c r="B260" i="7"/>
  <c r="C260" i="7"/>
  <c r="D260" i="7"/>
  <c r="A261" i="7"/>
  <c r="B261" i="7"/>
  <c r="C261" i="7"/>
  <c r="D261" i="7"/>
  <c r="A262" i="7"/>
  <c r="B262" i="7"/>
  <c r="C262" i="7"/>
  <c r="D262" i="7"/>
  <c r="A263" i="7"/>
  <c r="B263" i="7"/>
  <c r="C263" i="7"/>
  <c r="D263" i="7"/>
  <c r="A264" i="7"/>
  <c r="B264" i="7"/>
  <c r="C264" i="7"/>
  <c r="D264" i="7"/>
  <c r="A265" i="7"/>
  <c r="B265" i="7"/>
  <c r="C265" i="7"/>
  <c r="D265" i="7"/>
  <c r="A266" i="7"/>
  <c r="B266" i="7"/>
  <c r="C266" i="7"/>
  <c r="D266" i="7"/>
  <c r="A267" i="7"/>
  <c r="B267" i="7"/>
  <c r="C267" i="7"/>
  <c r="D267" i="7"/>
  <c r="A268" i="7"/>
  <c r="B268" i="7"/>
  <c r="C268" i="7"/>
  <c r="D268" i="7"/>
  <c r="A269" i="7"/>
  <c r="B269" i="7"/>
  <c r="C269" i="7"/>
  <c r="D269" i="7"/>
  <c r="A270" i="7"/>
  <c r="B270" i="7"/>
  <c r="C270" i="7"/>
  <c r="D270" i="7"/>
  <c r="A271" i="7"/>
  <c r="B271" i="7"/>
  <c r="C271" i="7"/>
  <c r="D271" i="7"/>
  <c r="A272" i="7"/>
  <c r="B272" i="7"/>
  <c r="C272" i="7"/>
  <c r="D272" i="7"/>
  <c r="A273" i="7"/>
  <c r="B273" i="7"/>
  <c r="C273" i="7"/>
  <c r="D273" i="7"/>
  <c r="A274" i="7"/>
  <c r="B274" i="7"/>
  <c r="C274" i="7"/>
  <c r="D274" i="7"/>
  <c r="A275" i="7"/>
  <c r="B275" i="7"/>
  <c r="C275" i="7"/>
  <c r="D275" i="7"/>
  <c r="A276" i="7"/>
  <c r="B276" i="7"/>
  <c r="C276" i="7"/>
  <c r="D276" i="7"/>
  <c r="A277" i="7"/>
  <c r="B277" i="7"/>
  <c r="C277" i="7"/>
  <c r="D277" i="7"/>
  <c r="A278" i="7"/>
  <c r="B278" i="7"/>
  <c r="C278" i="7"/>
  <c r="D278" i="7"/>
  <c r="A279" i="7"/>
  <c r="B279" i="7"/>
  <c r="C279" i="7"/>
  <c r="D279" i="7"/>
  <c r="A280" i="7"/>
  <c r="B280" i="7"/>
  <c r="C280" i="7"/>
  <c r="D280" i="7"/>
  <c r="A281" i="7"/>
  <c r="B281" i="7"/>
  <c r="C281" i="7"/>
  <c r="D281" i="7"/>
  <c r="A282" i="7"/>
  <c r="B282" i="7"/>
  <c r="C282" i="7"/>
  <c r="D282" i="7"/>
  <c r="A283" i="7"/>
  <c r="B283" i="7"/>
  <c r="C283" i="7"/>
  <c r="D283" i="7"/>
  <c r="A284" i="7"/>
  <c r="B284" i="7"/>
  <c r="C284" i="7"/>
  <c r="D284" i="7"/>
  <c r="A285" i="7"/>
  <c r="B285" i="7"/>
  <c r="C285" i="7"/>
  <c r="D285" i="7"/>
  <c r="A286" i="7"/>
  <c r="B286" i="7"/>
  <c r="C286" i="7"/>
  <c r="D286" i="7"/>
  <c r="A287" i="7"/>
  <c r="B287" i="7"/>
  <c r="C287" i="7"/>
  <c r="D287" i="7"/>
  <c r="A288" i="7"/>
  <c r="B288" i="7"/>
  <c r="C288" i="7"/>
  <c r="D288" i="7"/>
  <c r="A289" i="7"/>
  <c r="B289" i="7"/>
  <c r="C289" i="7"/>
  <c r="D289" i="7"/>
  <c r="A290" i="7"/>
  <c r="B290" i="7"/>
  <c r="C290" i="7"/>
  <c r="D290" i="7"/>
  <c r="A291" i="7"/>
  <c r="B291" i="7"/>
  <c r="C291" i="7"/>
  <c r="D291" i="7"/>
  <c r="A292" i="7"/>
  <c r="B292" i="7"/>
  <c r="C292" i="7"/>
  <c r="D292" i="7"/>
  <c r="A293" i="7"/>
  <c r="B293" i="7"/>
  <c r="C293" i="7"/>
  <c r="D293" i="7"/>
  <c r="A294" i="7"/>
  <c r="B294" i="7"/>
  <c r="C294" i="7"/>
  <c r="D294" i="7"/>
  <c r="A295" i="7"/>
  <c r="B295" i="7"/>
  <c r="C295" i="7"/>
  <c r="D295" i="7"/>
  <c r="A296" i="7"/>
  <c r="B296" i="7"/>
  <c r="C296" i="7"/>
  <c r="D296" i="7"/>
  <c r="A297" i="7"/>
  <c r="B297" i="7"/>
  <c r="C297" i="7"/>
  <c r="D297" i="7"/>
  <c r="A298" i="7"/>
  <c r="B298" i="7"/>
  <c r="C298" i="7"/>
  <c r="D298" i="7"/>
  <c r="A299" i="7"/>
  <c r="B299" i="7"/>
  <c r="C299" i="7"/>
  <c r="D299" i="7"/>
  <c r="A300" i="7"/>
  <c r="B300" i="7"/>
  <c r="C300" i="7"/>
  <c r="D300" i="7"/>
  <c r="A301" i="7"/>
  <c r="B301" i="7"/>
  <c r="C301" i="7"/>
  <c r="D301" i="7"/>
  <c r="A302" i="7"/>
  <c r="B302" i="7"/>
  <c r="C302" i="7"/>
  <c r="D302" i="7"/>
  <c r="A303" i="7"/>
  <c r="B303" i="7"/>
  <c r="C303" i="7"/>
  <c r="D303" i="7"/>
  <c r="A304" i="7"/>
  <c r="B304" i="7"/>
  <c r="C304" i="7"/>
  <c r="D304" i="7"/>
  <c r="A305" i="7"/>
  <c r="B305" i="7"/>
  <c r="C305" i="7"/>
  <c r="D305" i="7"/>
  <c r="A306" i="7"/>
  <c r="B306" i="7"/>
  <c r="C306" i="7"/>
  <c r="D306" i="7"/>
  <c r="A307" i="7"/>
  <c r="B307" i="7"/>
  <c r="C307" i="7"/>
  <c r="D307" i="7"/>
  <c r="A308" i="7"/>
  <c r="B308" i="7"/>
  <c r="C308" i="7"/>
  <c r="D308" i="7"/>
  <c r="A309" i="7"/>
  <c r="B309" i="7"/>
  <c r="C309" i="7"/>
  <c r="D309" i="7"/>
  <c r="A310" i="7"/>
  <c r="B310" i="7"/>
  <c r="C310" i="7"/>
  <c r="D310" i="7"/>
  <c r="A311" i="7"/>
  <c r="B311" i="7"/>
  <c r="C311" i="7"/>
  <c r="D311" i="7"/>
  <c r="A312" i="7"/>
  <c r="B312" i="7"/>
  <c r="C312" i="7"/>
  <c r="D312" i="7"/>
  <c r="A313" i="7"/>
  <c r="B313" i="7"/>
  <c r="C313" i="7"/>
  <c r="D313" i="7"/>
  <c r="A314" i="7"/>
  <c r="B314" i="7"/>
  <c r="C314" i="7"/>
  <c r="D314" i="7"/>
  <c r="A315" i="7"/>
  <c r="B315" i="7"/>
  <c r="C315" i="7"/>
  <c r="D315" i="7"/>
  <c r="A316" i="7"/>
  <c r="B316" i="7"/>
  <c r="C316" i="7"/>
  <c r="D316" i="7"/>
  <c r="A317" i="7"/>
  <c r="B317" i="7"/>
  <c r="C317" i="7"/>
  <c r="D317" i="7"/>
  <c r="A318" i="7"/>
  <c r="B318" i="7"/>
  <c r="C318" i="7"/>
  <c r="D318" i="7"/>
  <c r="A319" i="7"/>
  <c r="B319" i="7"/>
  <c r="C319" i="7"/>
  <c r="D319" i="7"/>
  <c r="A320" i="7"/>
  <c r="B320" i="7"/>
  <c r="C320" i="7"/>
  <c r="D320" i="7"/>
  <c r="A321" i="7"/>
  <c r="B321" i="7"/>
  <c r="C321" i="7"/>
  <c r="D321" i="7"/>
  <c r="A322" i="7"/>
  <c r="B322" i="7"/>
  <c r="C322" i="7"/>
  <c r="D322" i="7"/>
  <c r="A323" i="7"/>
  <c r="B323" i="7"/>
  <c r="C323" i="7"/>
  <c r="D323" i="7"/>
  <c r="A324" i="7"/>
  <c r="B324" i="7"/>
  <c r="C324" i="7"/>
  <c r="D324" i="7"/>
  <c r="A325" i="7"/>
  <c r="B325" i="7"/>
  <c r="C325" i="7"/>
  <c r="D325" i="7"/>
  <c r="A326" i="7"/>
  <c r="B326" i="7"/>
  <c r="C326" i="7"/>
  <c r="D326" i="7"/>
  <c r="A327" i="7"/>
  <c r="B327" i="7"/>
  <c r="C327" i="7"/>
  <c r="D327" i="7"/>
  <c r="A328" i="7"/>
  <c r="B328" i="7"/>
  <c r="C328" i="7"/>
  <c r="D328" i="7"/>
  <c r="A329" i="7"/>
  <c r="B329" i="7"/>
  <c r="C329" i="7"/>
  <c r="D329" i="7"/>
  <c r="A330" i="7"/>
  <c r="B330" i="7"/>
  <c r="C330" i="7"/>
  <c r="D330" i="7"/>
  <c r="A331" i="7"/>
  <c r="B331" i="7"/>
  <c r="C331" i="7"/>
  <c r="D331" i="7"/>
  <c r="A332" i="7"/>
  <c r="B332" i="7"/>
  <c r="C332" i="7"/>
  <c r="D332" i="7"/>
  <c r="A333" i="7"/>
  <c r="B333" i="7"/>
  <c r="C333" i="7"/>
  <c r="D333" i="7"/>
  <c r="A334" i="7"/>
  <c r="B334" i="7"/>
  <c r="C334" i="7"/>
  <c r="D334" i="7"/>
  <c r="A335" i="7"/>
  <c r="B335" i="7"/>
  <c r="C335" i="7"/>
  <c r="D335" i="7"/>
  <c r="A336" i="7"/>
  <c r="B336" i="7"/>
  <c r="C336" i="7"/>
  <c r="D336" i="7"/>
  <c r="A337" i="7"/>
  <c r="B337" i="7"/>
  <c r="C337" i="7"/>
  <c r="D337" i="7"/>
  <c r="A338" i="7"/>
  <c r="B338" i="7"/>
  <c r="C338" i="7"/>
  <c r="D338" i="7"/>
  <c r="A339" i="7"/>
  <c r="B339" i="7"/>
  <c r="C339" i="7"/>
  <c r="D339" i="7"/>
  <c r="A340" i="7"/>
  <c r="B340" i="7"/>
  <c r="C340" i="7"/>
  <c r="D340" i="7"/>
  <c r="A341" i="7"/>
  <c r="B341" i="7"/>
  <c r="C341" i="7"/>
  <c r="D341" i="7"/>
  <c r="A342" i="7"/>
  <c r="B342" i="7"/>
  <c r="C342" i="7"/>
  <c r="D342" i="7"/>
  <c r="A343" i="7"/>
  <c r="B343" i="7"/>
  <c r="C343" i="7"/>
  <c r="D343" i="7"/>
  <c r="A344" i="7"/>
  <c r="B344" i="7"/>
  <c r="C344" i="7"/>
  <c r="D344" i="7"/>
  <c r="A345" i="7"/>
  <c r="B345" i="7"/>
  <c r="C345" i="7"/>
  <c r="D345" i="7"/>
  <c r="A346" i="7"/>
  <c r="B346" i="7"/>
  <c r="C346" i="7"/>
  <c r="D346" i="7"/>
  <c r="A347" i="7"/>
  <c r="B347" i="7"/>
  <c r="C347" i="7"/>
  <c r="D347" i="7"/>
  <c r="A348" i="7"/>
  <c r="B348" i="7"/>
  <c r="C348" i="7"/>
  <c r="D348" i="7"/>
  <c r="A349" i="7"/>
  <c r="B349" i="7"/>
  <c r="C349" i="7"/>
  <c r="D349" i="7"/>
  <c r="A350" i="7"/>
  <c r="B350" i="7"/>
  <c r="C350" i="7"/>
  <c r="D350" i="7"/>
  <c r="A351" i="7"/>
  <c r="B351" i="7"/>
  <c r="C351" i="7"/>
  <c r="D351" i="7"/>
  <c r="A352" i="7"/>
  <c r="B352" i="7"/>
  <c r="C352" i="7"/>
  <c r="D352" i="7"/>
  <c r="A353" i="7"/>
  <c r="B353" i="7"/>
  <c r="C353" i="7"/>
  <c r="D353" i="7"/>
  <c r="A354" i="7"/>
  <c r="B354" i="7"/>
  <c r="C354" i="7"/>
  <c r="D354" i="7"/>
  <c r="A355" i="7"/>
  <c r="B355" i="7"/>
  <c r="C355" i="7"/>
  <c r="D355" i="7"/>
  <c r="A356" i="7"/>
  <c r="B356" i="7"/>
  <c r="C356" i="7"/>
  <c r="D356" i="7"/>
  <c r="A357" i="7"/>
  <c r="B357" i="7"/>
  <c r="C357" i="7"/>
  <c r="D357" i="7"/>
  <c r="A358" i="7"/>
  <c r="B358" i="7"/>
  <c r="C358" i="7"/>
  <c r="D358" i="7"/>
  <c r="A359" i="7"/>
  <c r="B359" i="7"/>
  <c r="C359" i="7"/>
  <c r="D359" i="7"/>
  <c r="A360" i="7"/>
  <c r="B360" i="7"/>
  <c r="C360" i="7"/>
  <c r="D360" i="7"/>
  <c r="A361" i="7"/>
  <c r="B361" i="7"/>
  <c r="C361" i="7"/>
  <c r="D361" i="7"/>
  <c r="A362" i="7"/>
  <c r="B362" i="7"/>
  <c r="C362" i="7"/>
  <c r="D362" i="7"/>
  <c r="A363" i="7"/>
  <c r="B363" i="7"/>
  <c r="C363" i="7"/>
  <c r="D363" i="7"/>
  <c r="A364" i="7"/>
  <c r="B364" i="7"/>
  <c r="C364" i="7"/>
  <c r="D364" i="7"/>
  <c r="A365" i="7"/>
  <c r="B365" i="7"/>
  <c r="C365" i="7"/>
  <c r="D365" i="7"/>
  <c r="A366" i="7"/>
  <c r="B366" i="7"/>
  <c r="C366" i="7"/>
  <c r="D366" i="7"/>
  <c r="A367" i="7"/>
  <c r="B367" i="7"/>
  <c r="C367" i="7"/>
  <c r="D367" i="7"/>
  <c r="A368" i="7"/>
  <c r="B368" i="7"/>
  <c r="C368" i="7"/>
  <c r="D368" i="7"/>
  <c r="A369" i="7"/>
  <c r="B369" i="7"/>
  <c r="C369" i="7"/>
  <c r="D369" i="7"/>
  <c r="A370" i="7"/>
  <c r="B370" i="7"/>
  <c r="C370" i="7"/>
  <c r="D370" i="7"/>
  <c r="A371" i="7"/>
  <c r="B371" i="7"/>
  <c r="C371" i="7"/>
  <c r="D371" i="7"/>
  <c r="A372" i="7"/>
  <c r="B372" i="7"/>
  <c r="C372" i="7"/>
  <c r="D372" i="7"/>
  <c r="A373" i="7"/>
  <c r="B373" i="7"/>
  <c r="C373" i="7"/>
  <c r="D373" i="7"/>
  <c r="A374" i="7"/>
  <c r="B374" i="7"/>
  <c r="C374" i="7"/>
  <c r="D374" i="7"/>
  <c r="A375" i="7"/>
  <c r="B375" i="7"/>
  <c r="C375" i="7"/>
  <c r="D375" i="7"/>
  <c r="A376" i="7"/>
  <c r="B376" i="7"/>
  <c r="C376" i="7"/>
  <c r="D376" i="7"/>
  <c r="A377" i="7"/>
  <c r="B377" i="7"/>
  <c r="C377" i="7"/>
  <c r="D377" i="7"/>
  <c r="A378" i="7"/>
  <c r="B378" i="7"/>
  <c r="C378" i="7"/>
  <c r="D378" i="7"/>
  <c r="A379" i="7"/>
  <c r="B379" i="7"/>
  <c r="C379" i="7"/>
  <c r="D379" i="7"/>
  <c r="A380" i="7"/>
  <c r="B380" i="7"/>
  <c r="C380" i="7"/>
  <c r="D380" i="7"/>
  <c r="A381" i="7"/>
  <c r="B381" i="7"/>
  <c r="C381" i="7"/>
  <c r="D381" i="7"/>
  <c r="A382" i="7"/>
  <c r="B382" i="7"/>
  <c r="C382" i="7"/>
  <c r="D382" i="7"/>
  <c r="A383" i="7"/>
  <c r="B383" i="7"/>
  <c r="C383" i="7"/>
  <c r="D383" i="7"/>
  <c r="A384" i="7"/>
  <c r="B384" i="7"/>
  <c r="C384" i="7"/>
  <c r="D384" i="7"/>
  <c r="A385" i="7"/>
  <c r="B385" i="7"/>
  <c r="C385" i="7"/>
  <c r="D385" i="7"/>
  <c r="A386" i="7"/>
  <c r="B386" i="7"/>
  <c r="C386" i="7"/>
  <c r="D386" i="7"/>
  <c r="A387" i="7"/>
  <c r="B387" i="7"/>
  <c r="C387" i="7"/>
  <c r="D387" i="7"/>
  <c r="A388" i="7"/>
  <c r="B388" i="7"/>
  <c r="C388" i="7"/>
  <c r="D388" i="7"/>
  <c r="A389" i="7"/>
  <c r="B389" i="7"/>
  <c r="C389" i="7"/>
  <c r="D389" i="7"/>
  <c r="A390" i="7"/>
  <c r="B390" i="7"/>
  <c r="C390" i="7"/>
  <c r="D390" i="7"/>
  <c r="A391" i="7"/>
  <c r="B391" i="7"/>
  <c r="C391" i="7"/>
  <c r="D391" i="7"/>
  <c r="A392" i="7"/>
  <c r="B392" i="7"/>
  <c r="C392" i="7"/>
  <c r="D392" i="7"/>
  <c r="A393" i="7"/>
  <c r="B393" i="7"/>
  <c r="C393" i="7"/>
  <c r="D393" i="7"/>
  <c r="A394" i="7"/>
  <c r="B394" i="7"/>
  <c r="C394" i="7"/>
  <c r="D394" i="7"/>
  <c r="A395" i="7"/>
  <c r="B395" i="7"/>
  <c r="C395" i="7"/>
  <c r="D395" i="7"/>
  <c r="A396" i="7"/>
  <c r="B396" i="7"/>
  <c r="C396" i="7"/>
  <c r="D396" i="7"/>
  <c r="A397" i="7"/>
  <c r="B397" i="7"/>
  <c r="C397" i="7"/>
  <c r="D397" i="7"/>
  <c r="A398" i="7"/>
  <c r="B398" i="7"/>
  <c r="C398" i="7"/>
  <c r="D398" i="7"/>
  <c r="A399" i="7"/>
  <c r="B399" i="7"/>
  <c r="C399" i="7"/>
  <c r="D399" i="7"/>
  <c r="A400" i="7"/>
  <c r="B400" i="7"/>
  <c r="C400" i="7"/>
  <c r="D400" i="7"/>
  <c r="A401" i="7"/>
  <c r="B401" i="7"/>
  <c r="C401" i="7"/>
  <c r="D401" i="7"/>
  <c r="A402" i="7"/>
  <c r="B402" i="7"/>
  <c r="C402" i="7"/>
  <c r="D402" i="7"/>
  <c r="A403" i="7"/>
  <c r="B403" i="7"/>
  <c r="C403" i="7"/>
  <c r="D403" i="7"/>
  <c r="A404" i="7"/>
  <c r="B404" i="7"/>
  <c r="C404" i="7"/>
  <c r="D404" i="7"/>
  <c r="A405" i="7"/>
  <c r="B405" i="7"/>
  <c r="C405" i="7"/>
  <c r="D405" i="7"/>
  <c r="A406" i="7"/>
  <c r="B406" i="7"/>
  <c r="C406" i="7"/>
  <c r="D406" i="7"/>
  <c r="A407" i="7"/>
  <c r="B407" i="7"/>
  <c r="C407" i="7"/>
  <c r="D407" i="7"/>
  <c r="A408" i="7"/>
  <c r="B408" i="7"/>
  <c r="C408" i="7"/>
  <c r="D408" i="7"/>
  <c r="A409" i="7"/>
  <c r="B409" i="7"/>
  <c r="C409" i="7"/>
  <c r="D409" i="7"/>
  <c r="A410" i="7"/>
  <c r="B410" i="7"/>
  <c r="C410" i="7"/>
  <c r="D410" i="7"/>
  <c r="A411" i="7"/>
  <c r="B411" i="7"/>
  <c r="C411" i="7"/>
  <c r="D411" i="7"/>
  <c r="A412" i="7"/>
  <c r="B412" i="7"/>
  <c r="C412" i="7"/>
  <c r="D412" i="7"/>
  <c r="A413" i="7"/>
  <c r="B413" i="7"/>
  <c r="C413" i="7"/>
  <c r="D413" i="7"/>
  <c r="A414" i="7"/>
  <c r="B414" i="7"/>
  <c r="C414" i="7"/>
  <c r="D414" i="7"/>
  <c r="A415" i="7"/>
  <c r="B415" i="7"/>
  <c r="C415" i="7"/>
  <c r="D415" i="7"/>
  <c r="A416" i="7"/>
  <c r="B416" i="7"/>
  <c r="C416" i="7"/>
  <c r="D416" i="7"/>
  <c r="A417" i="7"/>
  <c r="B417" i="7"/>
  <c r="C417" i="7"/>
  <c r="D417" i="7"/>
  <c r="A418" i="7"/>
  <c r="B418" i="7"/>
  <c r="C418" i="7"/>
  <c r="D418" i="7"/>
  <c r="A419" i="7"/>
  <c r="B419" i="7"/>
  <c r="C419" i="7"/>
  <c r="D419" i="7"/>
  <c r="A420" i="7"/>
  <c r="B420" i="7"/>
  <c r="C420" i="7"/>
  <c r="D420" i="7"/>
  <c r="A421" i="7"/>
  <c r="B421" i="7"/>
  <c r="C421" i="7"/>
  <c r="D421" i="7"/>
  <c r="A422" i="7"/>
  <c r="B422" i="7"/>
  <c r="C422" i="7"/>
  <c r="D422" i="7"/>
  <c r="A423" i="7"/>
  <c r="B423" i="7"/>
  <c r="C423" i="7"/>
  <c r="D423" i="7"/>
  <c r="A424" i="7"/>
  <c r="B424" i="7"/>
  <c r="C424" i="7"/>
  <c r="D424" i="7"/>
  <c r="A425" i="7"/>
  <c r="B425" i="7"/>
  <c r="C425" i="7"/>
  <c r="D425" i="7"/>
  <c r="A426" i="7"/>
  <c r="B426" i="7"/>
  <c r="C426" i="7"/>
  <c r="D426" i="7"/>
  <c r="A427" i="7"/>
  <c r="B427" i="7"/>
  <c r="C427" i="7"/>
  <c r="D427" i="7"/>
  <c r="A428" i="7"/>
  <c r="B428" i="7"/>
  <c r="C428" i="7"/>
  <c r="D428" i="7"/>
  <c r="A429" i="7"/>
  <c r="B429" i="7"/>
  <c r="C429" i="7"/>
  <c r="D429" i="7"/>
  <c r="A430" i="7"/>
  <c r="B430" i="7"/>
  <c r="C430" i="7"/>
  <c r="D430" i="7"/>
  <c r="A431" i="7"/>
  <c r="B431" i="7"/>
  <c r="C431" i="7"/>
  <c r="D431" i="7"/>
  <c r="A432" i="7"/>
  <c r="B432" i="7"/>
  <c r="C432" i="7"/>
  <c r="D432" i="7"/>
  <c r="A433" i="7"/>
  <c r="B433" i="7"/>
  <c r="C433" i="7"/>
  <c r="D433" i="7"/>
  <c r="A434" i="7"/>
  <c r="B434" i="7"/>
  <c r="C434" i="7"/>
  <c r="D434" i="7"/>
  <c r="A435" i="7"/>
  <c r="B435" i="7"/>
  <c r="C435" i="7"/>
  <c r="D435" i="7"/>
  <c r="A436" i="7"/>
  <c r="B436" i="7"/>
  <c r="C436" i="7"/>
  <c r="D436" i="7"/>
  <c r="A437" i="7"/>
  <c r="B437" i="7"/>
  <c r="C437" i="7"/>
  <c r="D437" i="7"/>
  <c r="A438" i="7"/>
  <c r="B438" i="7"/>
  <c r="C438" i="7"/>
  <c r="D438" i="7"/>
  <c r="A439" i="7"/>
  <c r="B439" i="7"/>
  <c r="C439" i="7"/>
  <c r="D439" i="7"/>
  <c r="A440" i="7"/>
  <c r="B440" i="7"/>
  <c r="C440" i="7"/>
  <c r="D440" i="7"/>
  <c r="A441" i="7"/>
  <c r="B441" i="7"/>
  <c r="C441" i="7"/>
  <c r="D441" i="7"/>
  <c r="A442" i="7"/>
  <c r="B442" i="7"/>
  <c r="C442" i="7"/>
  <c r="D442" i="7"/>
  <c r="A443" i="7"/>
  <c r="B443" i="7"/>
  <c r="C443" i="7"/>
  <c r="D443" i="7"/>
  <c r="A444" i="7"/>
  <c r="B444" i="7"/>
  <c r="C444" i="7"/>
  <c r="D444" i="7"/>
  <c r="A445" i="7"/>
  <c r="B445" i="7"/>
  <c r="C445" i="7"/>
  <c r="D445" i="7"/>
  <c r="A446" i="7"/>
  <c r="B446" i="7"/>
  <c r="C446" i="7"/>
  <c r="D446" i="7"/>
  <c r="A447" i="7"/>
  <c r="B447" i="7"/>
  <c r="C447" i="7"/>
  <c r="D447" i="7"/>
  <c r="A448" i="7"/>
  <c r="B448" i="7"/>
  <c r="C448" i="7"/>
  <c r="D448" i="7"/>
  <c r="A449" i="7"/>
  <c r="B449" i="7"/>
  <c r="C449" i="7"/>
  <c r="D449" i="7"/>
  <c r="A450" i="7"/>
  <c r="B450" i="7"/>
  <c r="C450" i="7"/>
  <c r="D450" i="7"/>
  <c r="A451" i="7"/>
  <c r="B451" i="7"/>
  <c r="C451" i="7"/>
  <c r="D451" i="7"/>
  <c r="A452" i="7"/>
  <c r="B452" i="7"/>
  <c r="C452" i="7"/>
  <c r="D452" i="7"/>
  <c r="A453" i="7"/>
  <c r="B453" i="7"/>
  <c r="C453" i="7"/>
  <c r="D453" i="7"/>
  <c r="A454" i="7"/>
  <c r="B454" i="7"/>
  <c r="C454" i="7"/>
  <c r="D454" i="7"/>
  <c r="A455" i="7"/>
  <c r="B455" i="7"/>
  <c r="C455" i="7"/>
  <c r="D455" i="7"/>
  <c r="A456" i="7"/>
  <c r="B456" i="7"/>
  <c r="C456" i="7"/>
  <c r="D456" i="7"/>
  <c r="A457" i="7"/>
  <c r="B457" i="7"/>
  <c r="C457" i="7"/>
  <c r="D457" i="7"/>
  <c r="A458" i="7"/>
  <c r="B458" i="7"/>
  <c r="C458" i="7"/>
  <c r="D458" i="7"/>
  <c r="A459" i="7"/>
  <c r="B459" i="7"/>
  <c r="C459" i="7"/>
  <c r="D459" i="7"/>
  <c r="A460" i="7"/>
  <c r="B460" i="7"/>
  <c r="C460" i="7"/>
  <c r="D460" i="7"/>
  <c r="A461" i="7"/>
  <c r="B461" i="7"/>
  <c r="C461" i="7"/>
  <c r="D461" i="7"/>
  <c r="A462" i="7"/>
  <c r="B462" i="7"/>
  <c r="C462" i="7"/>
  <c r="D462" i="7"/>
  <c r="A463" i="7"/>
  <c r="B463" i="7"/>
  <c r="C463" i="7"/>
  <c r="D463" i="7"/>
  <c r="A464" i="7"/>
  <c r="B464" i="7"/>
  <c r="C464" i="7"/>
  <c r="D464" i="7"/>
  <c r="A465" i="7"/>
  <c r="B465" i="7"/>
  <c r="C465" i="7"/>
  <c r="D465" i="7"/>
  <c r="A466" i="7"/>
  <c r="B466" i="7"/>
  <c r="C466" i="7"/>
  <c r="D466" i="7"/>
  <c r="A467" i="7"/>
  <c r="B467" i="7"/>
  <c r="C467" i="7"/>
  <c r="D467" i="7"/>
  <c r="A468" i="7"/>
  <c r="B468" i="7"/>
  <c r="C468" i="7"/>
  <c r="D468" i="7"/>
  <c r="A469" i="7"/>
  <c r="B469" i="7"/>
  <c r="C469" i="7"/>
  <c r="D469" i="7"/>
  <c r="A470" i="7"/>
  <c r="B470" i="7"/>
  <c r="C470" i="7"/>
  <c r="D470" i="7"/>
  <c r="A471" i="7"/>
  <c r="B471" i="7"/>
  <c r="C471" i="7"/>
  <c r="D471" i="7"/>
  <c r="A472" i="7"/>
  <c r="B472" i="7"/>
  <c r="C472" i="7"/>
  <c r="D472" i="7"/>
  <c r="A473" i="7"/>
  <c r="B473" i="7"/>
  <c r="C473" i="7"/>
  <c r="D473" i="7"/>
  <c r="A474" i="7"/>
  <c r="B474" i="7"/>
  <c r="C474" i="7"/>
  <c r="D474" i="7"/>
  <c r="A475" i="7"/>
  <c r="B475" i="7"/>
  <c r="C475" i="7"/>
  <c r="D475" i="7"/>
  <c r="A476" i="7"/>
  <c r="B476" i="7"/>
  <c r="C476" i="7"/>
  <c r="D476" i="7"/>
  <c r="A477" i="7"/>
  <c r="B477" i="7"/>
  <c r="C477" i="7"/>
  <c r="D477" i="7"/>
  <c r="A478" i="7"/>
  <c r="B478" i="7"/>
  <c r="C478" i="7"/>
  <c r="D478" i="7"/>
  <c r="A479" i="7"/>
  <c r="B479" i="7"/>
  <c r="C479" i="7"/>
  <c r="D479" i="7"/>
  <c r="A480" i="7"/>
  <c r="B480" i="7"/>
  <c r="C480" i="7"/>
  <c r="D480" i="7"/>
  <c r="A481" i="7"/>
  <c r="B481" i="7"/>
  <c r="C481" i="7"/>
  <c r="D481" i="7"/>
  <c r="A482" i="7"/>
  <c r="B482" i="7"/>
  <c r="C482" i="7"/>
  <c r="D482" i="7"/>
  <c r="A483" i="7"/>
  <c r="B483" i="7"/>
  <c r="C483" i="7"/>
  <c r="D483" i="7"/>
  <c r="A484" i="7"/>
  <c r="B484" i="7"/>
  <c r="C484" i="7"/>
  <c r="D484" i="7"/>
  <c r="A485" i="7"/>
  <c r="B485" i="7"/>
  <c r="C485" i="7"/>
  <c r="D485" i="7"/>
  <c r="A486" i="7"/>
  <c r="B486" i="7"/>
  <c r="C486" i="7"/>
  <c r="D486" i="7"/>
  <c r="A487" i="7"/>
  <c r="B487" i="7"/>
  <c r="C487" i="7"/>
  <c r="D487" i="7"/>
  <c r="A488" i="7"/>
  <c r="B488" i="7"/>
  <c r="C488" i="7"/>
  <c r="D488" i="7"/>
  <c r="A489" i="7"/>
  <c r="B489" i="7"/>
  <c r="C489" i="7"/>
  <c r="D489" i="7"/>
  <c r="A490" i="7"/>
  <c r="B490" i="7"/>
  <c r="C490" i="7"/>
  <c r="D490" i="7"/>
  <c r="A491" i="7"/>
  <c r="B491" i="7"/>
  <c r="C491" i="7"/>
  <c r="D491" i="7"/>
  <c r="A492" i="7"/>
  <c r="B492" i="7"/>
  <c r="C492" i="7"/>
  <c r="D492" i="7"/>
  <c r="A493" i="7"/>
  <c r="B493" i="7"/>
  <c r="C493" i="7"/>
  <c r="D493" i="7"/>
  <c r="A494" i="7"/>
  <c r="B494" i="7"/>
  <c r="C494" i="7"/>
  <c r="D494" i="7"/>
  <c r="A495" i="7"/>
  <c r="B495" i="7"/>
  <c r="C495" i="7"/>
  <c r="D495" i="7"/>
  <c r="A496" i="7"/>
  <c r="B496" i="7"/>
  <c r="C496" i="7"/>
  <c r="D496" i="7"/>
  <c r="A497" i="7"/>
  <c r="B497" i="7"/>
  <c r="C497" i="7"/>
  <c r="D497" i="7"/>
  <c r="A498" i="7"/>
  <c r="B498" i="7"/>
  <c r="C498" i="7"/>
  <c r="D498" i="7"/>
  <c r="A499" i="7"/>
  <c r="B499" i="7"/>
  <c r="C499" i="7"/>
  <c r="D499" i="7"/>
  <c r="A500" i="7"/>
  <c r="B500" i="7"/>
  <c r="C500" i="7"/>
  <c r="D500" i="7"/>
  <c r="A501" i="7"/>
  <c r="B501" i="7"/>
  <c r="C501" i="7"/>
  <c r="D501" i="7"/>
  <c r="A502" i="7"/>
  <c r="B502" i="7"/>
  <c r="C502" i="7"/>
  <c r="D502" i="7"/>
  <c r="A503" i="7"/>
  <c r="B503" i="7"/>
  <c r="C503" i="7"/>
  <c r="D503" i="7"/>
  <c r="A504" i="7"/>
  <c r="B504" i="7"/>
  <c r="C504" i="7"/>
  <c r="D504" i="7"/>
  <c r="A505" i="7"/>
  <c r="B505" i="7"/>
  <c r="C505" i="7"/>
  <c r="D505" i="7"/>
  <c r="A506" i="7"/>
  <c r="B506" i="7"/>
  <c r="C506" i="7"/>
  <c r="D506" i="7"/>
  <c r="A507" i="7"/>
  <c r="B507" i="7"/>
  <c r="C507" i="7"/>
  <c r="D507" i="7"/>
  <c r="A508" i="7"/>
  <c r="B508" i="7"/>
  <c r="C508" i="7"/>
  <c r="D508" i="7"/>
  <c r="A509" i="7"/>
  <c r="B509" i="7"/>
  <c r="C509" i="7"/>
  <c r="D509" i="7"/>
  <c r="A510" i="7"/>
  <c r="B510" i="7"/>
  <c r="C510" i="7"/>
  <c r="D510" i="7"/>
  <c r="A511" i="7"/>
  <c r="B511" i="7"/>
  <c r="C511" i="7"/>
  <c r="D511" i="7"/>
  <c r="A512" i="7"/>
  <c r="B512" i="7"/>
  <c r="C512" i="7"/>
  <c r="D512" i="7"/>
  <c r="A513" i="7"/>
  <c r="B513" i="7"/>
  <c r="C513" i="7"/>
  <c r="D513" i="7"/>
  <c r="A514" i="7"/>
  <c r="B514" i="7"/>
  <c r="C514" i="7"/>
  <c r="D514" i="7"/>
  <c r="A515" i="7"/>
  <c r="B515" i="7"/>
  <c r="C515" i="7"/>
  <c r="D515" i="7"/>
  <c r="A516" i="7"/>
  <c r="B516" i="7"/>
  <c r="C516" i="7"/>
  <c r="D516" i="7"/>
  <c r="A517" i="7"/>
  <c r="B517" i="7"/>
  <c r="C517" i="7"/>
  <c r="D517" i="7"/>
  <c r="A518" i="7"/>
  <c r="B518" i="7"/>
  <c r="C518" i="7"/>
  <c r="D518" i="7"/>
  <c r="A519" i="7"/>
  <c r="B519" i="7"/>
  <c r="C519" i="7"/>
  <c r="D519" i="7"/>
  <c r="A520" i="7"/>
  <c r="B520" i="7"/>
  <c r="C520" i="7"/>
  <c r="D520" i="7"/>
  <c r="A521" i="7"/>
  <c r="B521" i="7"/>
  <c r="C521" i="7"/>
  <c r="D521" i="7"/>
  <c r="A522" i="7"/>
  <c r="B522" i="7"/>
  <c r="C522" i="7"/>
  <c r="D522" i="7"/>
  <c r="A523" i="7"/>
  <c r="B523" i="7"/>
  <c r="C523" i="7"/>
  <c r="D523" i="7"/>
  <c r="A524" i="7"/>
  <c r="B524" i="7"/>
  <c r="C524" i="7"/>
  <c r="D524" i="7"/>
  <c r="A525" i="7"/>
  <c r="B525" i="7"/>
  <c r="C525" i="7"/>
  <c r="D525" i="7"/>
  <c r="A526" i="7"/>
  <c r="B526" i="7"/>
  <c r="C526" i="7"/>
  <c r="D526" i="7"/>
  <c r="A527" i="7"/>
  <c r="B527" i="7"/>
  <c r="C527" i="7"/>
  <c r="D527" i="7"/>
  <c r="A528" i="7"/>
  <c r="B528" i="7"/>
  <c r="C528" i="7"/>
  <c r="D528" i="7"/>
  <c r="A529" i="7"/>
  <c r="B529" i="7"/>
  <c r="C529" i="7"/>
  <c r="D529" i="7"/>
  <c r="A530" i="7"/>
  <c r="B530" i="7"/>
  <c r="C530" i="7"/>
  <c r="D530" i="7"/>
  <c r="A531" i="7"/>
  <c r="B531" i="7"/>
  <c r="C531" i="7"/>
  <c r="D531" i="7"/>
  <c r="A532" i="7"/>
  <c r="B532" i="7"/>
  <c r="C532" i="7"/>
  <c r="D532" i="7"/>
  <c r="A533" i="7"/>
  <c r="B533" i="7"/>
  <c r="C533" i="7"/>
  <c r="D533" i="7"/>
  <c r="A534" i="7"/>
  <c r="B534" i="7"/>
  <c r="C534" i="7"/>
  <c r="D534" i="7"/>
  <c r="A535" i="7"/>
  <c r="B535" i="7"/>
  <c r="C535" i="7"/>
  <c r="D535" i="7"/>
  <c r="A536" i="7"/>
  <c r="B536" i="7"/>
  <c r="C536" i="7"/>
  <c r="D536" i="7"/>
  <c r="A537" i="7"/>
  <c r="B537" i="7"/>
  <c r="C537" i="7"/>
  <c r="D537" i="7"/>
  <c r="A538" i="7"/>
  <c r="B538" i="7"/>
  <c r="C538" i="7"/>
  <c r="D538" i="7"/>
  <c r="A539" i="7"/>
  <c r="B539" i="7"/>
  <c r="C539" i="7"/>
  <c r="D539" i="7"/>
  <c r="A540" i="7"/>
  <c r="B540" i="7"/>
  <c r="C540" i="7"/>
  <c r="D540" i="7"/>
  <c r="A541" i="7"/>
  <c r="B541" i="7"/>
  <c r="C541" i="7"/>
  <c r="D541" i="7"/>
  <c r="A542" i="7"/>
  <c r="B542" i="7"/>
  <c r="C542" i="7"/>
  <c r="D542" i="7"/>
  <c r="A543" i="7"/>
  <c r="B543" i="7"/>
  <c r="C543" i="7"/>
  <c r="D543" i="7"/>
  <c r="A544" i="7"/>
  <c r="B544" i="7"/>
  <c r="C544" i="7"/>
  <c r="D544" i="7"/>
  <c r="A545" i="7"/>
  <c r="B545" i="7"/>
  <c r="C545" i="7"/>
  <c r="D545" i="7"/>
  <c r="A546" i="7"/>
  <c r="B546" i="7"/>
  <c r="C546" i="7"/>
  <c r="D546" i="7"/>
  <c r="A547" i="7"/>
  <c r="B547" i="7"/>
  <c r="C547" i="7"/>
  <c r="D547" i="7"/>
  <c r="A548" i="7"/>
  <c r="B548" i="7"/>
  <c r="C548" i="7"/>
  <c r="D548" i="7"/>
  <c r="A549" i="7"/>
  <c r="B549" i="7"/>
  <c r="C549" i="7"/>
  <c r="D549" i="7"/>
  <c r="A550" i="7"/>
  <c r="B550" i="7"/>
  <c r="C550" i="7"/>
  <c r="D550" i="7"/>
  <c r="A551" i="7"/>
  <c r="B551" i="7"/>
  <c r="C551" i="7"/>
  <c r="D551" i="7"/>
  <c r="A552" i="7"/>
  <c r="B552" i="7"/>
  <c r="C552" i="7"/>
  <c r="D552" i="7"/>
  <c r="A553" i="7"/>
  <c r="B553" i="7"/>
  <c r="C553" i="7"/>
  <c r="D553" i="7"/>
  <c r="A554" i="7"/>
  <c r="B554" i="7"/>
  <c r="C554" i="7"/>
  <c r="D554" i="7"/>
  <c r="A555" i="7"/>
  <c r="B555" i="7"/>
  <c r="C555" i="7"/>
  <c r="D555" i="7"/>
  <c r="A556" i="7"/>
  <c r="B556" i="7"/>
  <c r="C556" i="7"/>
  <c r="D556" i="7"/>
  <c r="A557" i="7"/>
  <c r="B557" i="7"/>
  <c r="C557" i="7"/>
  <c r="D557" i="7"/>
  <c r="A558" i="7"/>
  <c r="B558" i="7"/>
  <c r="C558" i="7"/>
  <c r="D558" i="7"/>
  <c r="A559" i="7"/>
  <c r="B559" i="7"/>
  <c r="C559" i="7"/>
  <c r="D559" i="7"/>
  <c r="A560" i="7"/>
  <c r="B560" i="7"/>
  <c r="C560" i="7"/>
  <c r="D560" i="7"/>
  <c r="A561" i="7"/>
  <c r="B561" i="7"/>
  <c r="C561" i="7"/>
  <c r="D561" i="7"/>
  <c r="A562" i="7"/>
  <c r="B562" i="7"/>
  <c r="C562" i="7"/>
  <c r="D562" i="7"/>
  <c r="A563" i="7"/>
  <c r="B563" i="7"/>
  <c r="C563" i="7"/>
  <c r="D563" i="7"/>
  <c r="A564" i="7"/>
  <c r="B564" i="7"/>
  <c r="C564" i="7"/>
  <c r="D564" i="7"/>
  <c r="A565" i="7"/>
  <c r="B565" i="7"/>
  <c r="C565" i="7"/>
  <c r="D565" i="7"/>
  <c r="A566" i="7"/>
  <c r="B566" i="7"/>
  <c r="C566" i="7"/>
  <c r="D566" i="7"/>
  <c r="A567" i="7"/>
  <c r="B567" i="7"/>
  <c r="C567" i="7"/>
  <c r="D567" i="7"/>
  <c r="A568" i="7"/>
  <c r="B568" i="7"/>
  <c r="C568" i="7"/>
  <c r="D568" i="7"/>
  <c r="A569" i="7"/>
  <c r="B569" i="7"/>
  <c r="C569" i="7"/>
  <c r="D569" i="7"/>
  <c r="A570" i="7"/>
  <c r="B570" i="7"/>
  <c r="C570" i="7"/>
  <c r="D570" i="7"/>
  <c r="A571" i="7"/>
  <c r="B571" i="7"/>
  <c r="C571" i="7"/>
  <c r="D571" i="7"/>
  <c r="A572" i="7"/>
  <c r="B572" i="7"/>
  <c r="C572" i="7"/>
  <c r="D572" i="7"/>
  <c r="A573" i="7"/>
  <c r="B573" i="7"/>
  <c r="C573" i="7"/>
  <c r="D573" i="7"/>
  <c r="A574" i="7"/>
  <c r="B574" i="7"/>
  <c r="C574" i="7"/>
  <c r="D574" i="7"/>
  <c r="A575" i="7"/>
  <c r="B575" i="7"/>
  <c r="C575" i="7"/>
  <c r="D575" i="7"/>
  <c r="A576" i="7"/>
  <c r="B576" i="7"/>
  <c r="C576" i="7"/>
  <c r="D576" i="7"/>
  <c r="A577" i="7"/>
  <c r="B577" i="7"/>
  <c r="C577" i="7"/>
  <c r="D577" i="7"/>
  <c r="A578" i="7"/>
  <c r="B578" i="7"/>
  <c r="C578" i="7"/>
  <c r="D578" i="7"/>
  <c r="A579" i="7"/>
  <c r="B579" i="7"/>
  <c r="C579" i="7"/>
  <c r="D579" i="7"/>
  <c r="A580" i="7"/>
  <c r="B580" i="7"/>
  <c r="C580" i="7"/>
  <c r="D580" i="7"/>
  <c r="A581" i="7"/>
  <c r="B581" i="7"/>
  <c r="C581" i="7"/>
  <c r="D581" i="7"/>
  <c r="A582" i="7"/>
  <c r="B582" i="7"/>
  <c r="C582" i="7"/>
  <c r="D582" i="7"/>
  <c r="A583" i="7"/>
  <c r="B583" i="7"/>
  <c r="C583" i="7"/>
  <c r="D583" i="7"/>
  <c r="A584" i="7"/>
  <c r="B584" i="7"/>
  <c r="C584" i="7"/>
  <c r="D584" i="7"/>
  <c r="A585" i="7"/>
  <c r="B585" i="7"/>
  <c r="C585" i="7"/>
  <c r="D585" i="7"/>
  <c r="A586" i="7"/>
  <c r="B586" i="7"/>
  <c r="C586" i="7"/>
  <c r="D586" i="7"/>
  <c r="A587" i="7"/>
  <c r="B587" i="7"/>
  <c r="C587" i="7"/>
  <c r="D587" i="7"/>
  <c r="A588" i="7"/>
  <c r="B588" i="7"/>
  <c r="C588" i="7"/>
  <c r="D588" i="7"/>
  <c r="A589" i="7"/>
  <c r="B589" i="7"/>
  <c r="C589" i="7"/>
  <c r="D589" i="7"/>
  <c r="A590" i="7"/>
  <c r="B590" i="7"/>
  <c r="C590" i="7"/>
  <c r="D590" i="7"/>
  <c r="A591" i="7"/>
  <c r="B591" i="7"/>
  <c r="C591" i="7"/>
  <c r="D591" i="7"/>
  <c r="A592" i="7"/>
  <c r="B592" i="7"/>
  <c r="C592" i="7"/>
  <c r="D592" i="7"/>
  <c r="A593" i="7"/>
  <c r="B593" i="7"/>
  <c r="C593" i="7"/>
  <c r="D593" i="7"/>
  <c r="A594" i="7"/>
  <c r="B594" i="7"/>
  <c r="C594" i="7"/>
  <c r="D594" i="7"/>
  <c r="A595" i="7"/>
  <c r="B595" i="7"/>
  <c r="C595" i="7"/>
  <c r="D595" i="7"/>
  <c r="A596" i="7"/>
  <c r="B596" i="7"/>
  <c r="C596" i="7"/>
  <c r="D596" i="7"/>
  <c r="A597" i="7"/>
  <c r="B597" i="7"/>
  <c r="C597" i="7"/>
  <c r="D597" i="7"/>
  <c r="A598" i="7"/>
  <c r="B598" i="7"/>
  <c r="C598" i="7"/>
  <c r="D598" i="7"/>
  <c r="A599" i="7"/>
  <c r="B599" i="7"/>
  <c r="C599" i="7"/>
  <c r="D599" i="7"/>
  <c r="A600" i="7"/>
  <c r="B600" i="7"/>
  <c r="C600" i="7"/>
  <c r="D600" i="7"/>
  <c r="A601" i="7"/>
  <c r="B601" i="7"/>
  <c r="C601" i="7"/>
  <c r="D601" i="7"/>
  <c r="A602" i="7"/>
  <c r="B602" i="7"/>
  <c r="C602" i="7"/>
  <c r="D602" i="7"/>
  <c r="A603" i="7"/>
  <c r="B603" i="7"/>
  <c r="C603" i="7"/>
  <c r="D603" i="7"/>
  <c r="A604" i="7"/>
  <c r="B604" i="7"/>
  <c r="C604" i="7"/>
  <c r="D604" i="7"/>
  <c r="A605" i="7"/>
  <c r="B605" i="7"/>
  <c r="C605" i="7"/>
  <c r="D605" i="7"/>
  <c r="A606" i="7"/>
  <c r="B606" i="7"/>
  <c r="C606" i="7"/>
  <c r="D606" i="7"/>
  <c r="A607" i="7"/>
  <c r="B607" i="7"/>
  <c r="C607" i="7"/>
  <c r="D607" i="7"/>
  <c r="A608" i="7"/>
  <c r="B608" i="7"/>
  <c r="C608" i="7"/>
  <c r="D608" i="7"/>
  <c r="A609" i="7"/>
  <c r="B609" i="7"/>
  <c r="C609" i="7"/>
  <c r="D609" i="7"/>
  <c r="A610" i="7"/>
  <c r="B610" i="7"/>
  <c r="C610" i="7"/>
  <c r="D610" i="7"/>
  <c r="A611" i="7"/>
  <c r="B611" i="7"/>
  <c r="C611" i="7"/>
  <c r="D611" i="7"/>
  <c r="A612" i="7"/>
  <c r="B612" i="7"/>
  <c r="C612" i="7"/>
  <c r="D612" i="7"/>
  <c r="A613" i="7"/>
  <c r="B613" i="7"/>
  <c r="C613" i="7"/>
  <c r="D613" i="7"/>
  <c r="A614" i="7"/>
  <c r="B614" i="7"/>
  <c r="C614" i="7"/>
  <c r="D614" i="7"/>
  <c r="A615" i="7"/>
  <c r="B615" i="7"/>
  <c r="C615" i="7"/>
  <c r="D615" i="7"/>
  <c r="A616" i="7"/>
  <c r="B616" i="7"/>
  <c r="C616" i="7"/>
  <c r="D616" i="7"/>
  <c r="A617" i="7"/>
  <c r="B617" i="7"/>
  <c r="C617" i="7"/>
  <c r="D617" i="7"/>
  <c r="A618" i="7"/>
  <c r="B618" i="7"/>
  <c r="C618" i="7"/>
  <c r="D618" i="7"/>
  <c r="A619" i="7"/>
  <c r="B619" i="7"/>
  <c r="C619" i="7"/>
  <c r="D619" i="7"/>
  <c r="A620" i="7"/>
  <c r="B620" i="7"/>
  <c r="C620" i="7"/>
  <c r="D620" i="7"/>
  <c r="A621" i="7"/>
  <c r="B621" i="7"/>
  <c r="C621" i="7"/>
  <c r="D621" i="7"/>
  <c r="A622" i="7"/>
  <c r="B622" i="7"/>
  <c r="C622" i="7"/>
  <c r="D622" i="7"/>
  <c r="A623" i="7"/>
  <c r="B623" i="7"/>
  <c r="C623" i="7"/>
  <c r="D623" i="7"/>
  <c r="A624" i="7"/>
  <c r="B624" i="7"/>
  <c r="C624" i="7"/>
  <c r="D624" i="7"/>
  <c r="A625" i="7"/>
  <c r="B625" i="7"/>
  <c r="C625" i="7"/>
  <c r="D625" i="7"/>
  <c r="A626" i="7"/>
  <c r="B626" i="7"/>
  <c r="C626" i="7"/>
  <c r="D626" i="7"/>
  <c r="A627" i="7"/>
  <c r="B627" i="7"/>
  <c r="C627" i="7"/>
  <c r="D627" i="7"/>
  <c r="A628" i="7"/>
  <c r="B628" i="7"/>
  <c r="C628" i="7"/>
  <c r="D628" i="7"/>
  <c r="A629" i="7"/>
  <c r="B629" i="7"/>
  <c r="C629" i="7"/>
  <c r="D629" i="7"/>
  <c r="A630" i="7"/>
  <c r="B630" i="7"/>
  <c r="C630" i="7"/>
  <c r="D630" i="7"/>
  <c r="A631" i="7"/>
  <c r="B631" i="7"/>
  <c r="C631" i="7"/>
  <c r="D631" i="7"/>
  <c r="A632" i="7"/>
  <c r="B632" i="7"/>
  <c r="C632" i="7"/>
  <c r="D632" i="7"/>
  <c r="A633" i="7"/>
  <c r="B633" i="7"/>
  <c r="C633" i="7"/>
  <c r="D633" i="7"/>
  <c r="A634" i="7"/>
  <c r="B634" i="7"/>
  <c r="C634" i="7"/>
  <c r="D634" i="7"/>
  <c r="A635" i="7"/>
  <c r="B635" i="7"/>
  <c r="C635" i="7"/>
  <c r="D635" i="7"/>
  <c r="A636" i="7"/>
  <c r="B636" i="7"/>
  <c r="C636" i="7"/>
  <c r="D636" i="7"/>
  <c r="A637" i="7"/>
  <c r="B637" i="7"/>
  <c r="C637" i="7"/>
  <c r="D637" i="7"/>
  <c r="A638" i="7"/>
  <c r="B638" i="7"/>
  <c r="C638" i="7"/>
  <c r="D638" i="7"/>
  <c r="A639" i="7"/>
  <c r="B639" i="7"/>
  <c r="C639" i="7"/>
  <c r="D639" i="7"/>
  <c r="A640" i="7"/>
  <c r="B640" i="7"/>
  <c r="C640" i="7"/>
  <c r="D640" i="7"/>
  <c r="A641" i="7"/>
  <c r="B641" i="7"/>
  <c r="C641" i="7"/>
  <c r="D641" i="7"/>
  <c r="A642" i="7"/>
  <c r="B642" i="7"/>
  <c r="C642" i="7"/>
  <c r="D642" i="7"/>
  <c r="A643" i="7"/>
  <c r="B643" i="7"/>
  <c r="C643" i="7"/>
  <c r="D643" i="7"/>
  <c r="A644" i="7"/>
  <c r="B644" i="7"/>
  <c r="C644" i="7"/>
  <c r="D644" i="7"/>
  <c r="A645" i="7"/>
  <c r="B645" i="7"/>
  <c r="C645" i="7"/>
  <c r="D645" i="7"/>
  <c r="A646" i="7"/>
  <c r="B646" i="7"/>
  <c r="C646" i="7"/>
  <c r="D646" i="7"/>
  <c r="A647" i="7"/>
  <c r="B647" i="7"/>
  <c r="C647" i="7"/>
  <c r="D647" i="7"/>
  <c r="A648" i="7"/>
  <c r="B648" i="7"/>
  <c r="C648" i="7"/>
  <c r="D648" i="7"/>
  <c r="A649" i="7"/>
  <c r="B649" i="7"/>
  <c r="C649" i="7"/>
  <c r="D649" i="7"/>
  <c r="A650" i="7"/>
  <c r="B650" i="7"/>
  <c r="C650" i="7"/>
  <c r="D650" i="7"/>
  <c r="A651" i="7"/>
  <c r="B651" i="7"/>
  <c r="C651" i="7"/>
  <c r="D651" i="7"/>
  <c r="A652" i="7"/>
  <c r="B652" i="7"/>
  <c r="C652" i="7"/>
  <c r="D652" i="7"/>
  <c r="A653" i="7"/>
  <c r="B653" i="7"/>
  <c r="C653" i="7"/>
  <c r="D653" i="7"/>
  <c r="A654" i="7"/>
  <c r="B654" i="7"/>
  <c r="C654" i="7"/>
  <c r="D654" i="7"/>
  <c r="A655" i="7"/>
  <c r="B655" i="7"/>
  <c r="C655" i="7"/>
  <c r="D655" i="7"/>
  <c r="A656" i="7"/>
  <c r="B656" i="7"/>
  <c r="C656" i="7"/>
  <c r="D656" i="7"/>
  <c r="A657" i="7"/>
  <c r="B657" i="7"/>
  <c r="C657" i="7"/>
  <c r="D657" i="7"/>
  <c r="A658" i="7"/>
  <c r="B658" i="7"/>
  <c r="C658" i="7"/>
  <c r="D658" i="7"/>
  <c r="A659" i="7"/>
  <c r="B659" i="7"/>
  <c r="C659" i="7"/>
  <c r="D659" i="7"/>
  <c r="A660" i="7"/>
  <c r="B660" i="7"/>
  <c r="C660" i="7"/>
  <c r="D660" i="7"/>
  <c r="A661" i="7"/>
  <c r="B661" i="7"/>
  <c r="C661" i="7"/>
  <c r="D661" i="7"/>
  <c r="A662" i="7"/>
  <c r="B662" i="7"/>
  <c r="C662" i="7"/>
  <c r="D662" i="7"/>
  <c r="A663" i="7"/>
  <c r="B663" i="7"/>
  <c r="C663" i="7"/>
  <c r="D663" i="7"/>
  <c r="A664" i="7"/>
  <c r="B664" i="7"/>
  <c r="C664" i="7"/>
  <c r="D664" i="7"/>
  <c r="A665" i="7"/>
  <c r="B665" i="7"/>
  <c r="C665" i="7"/>
  <c r="D665" i="7"/>
  <c r="A666" i="7"/>
  <c r="B666" i="7"/>
  <c r="C666" i="7"/>
  <c r="D666" i="7"/>
  <c r="A667" i="7"/>
  <c r="B667" i="7"/>
  <c r="C667" i="7"/>
  <c r="D667" i="7"/>
  <c r="A668" i="7"/>
  <c r="B668" i="7"/>
  <c r="C668" i="7"/>
  <c r="D668" i="7"/>
  <c r="A669" i="7"/>
  <c r="B669" i="7"/>
  <c r="C669" i="7"/>
  <c r="D669" i="7"/>
  <c r="A670" i="7"/>
  <c r="B670" i="7"/>
  <c r="C670" i="7"/>
  <c r="D670" i="7"/>
  <c r="A671" i="7"/>
  <c r="B671" i="7"/>
  <c r="C671" i="7"/>
  <c r="D671" i="7"/>
  <c r="A672" i="7"/>
  <c r="B672" i="7"/>
  <c r="C672" i="7"/>
  <c r="D672" i="7"/>
  <c r="A673" i="7"/>
  <c r="B673" i="7"/>
  <c r="C673" i="7"/>
  <c r="D673" i="7"/>
  <c r="A674" i="7"/>
  <c r="B674" i="7"/>
  <c r="C674" i="7"/>
  <c r="D674" i="7"/>
  <c r="A675" i="7"/>
  <c r="B675" i="7"/>
  <c r="C675" i="7"/>
  <c r="D675" i="7"/>
  <c r="A676" i="7"/>
  <c r="B676" i="7"/>
  <c r="C676" i="7"/>
  <c r="D676" i="7"/>
  <c r="A677" i="7"/>
  <c r="B677" i="7"/>
  <c r="C677" i="7"/>
  <c r="D677" i="7"/>
  <c r="A678" i="7"/>
  <c r="B678" i="7"/>
  <c r="C678" i="7"/>
  <c r="D678" i="7"/>
  <c r="A679" i="7"/>
  <c r="B679" i="7"/>
  <c r="C679" i="7"/>
  <c r="D679" i="7"/>
  <c r="A680" i="7"/>
  <c r="B680" i="7"/>
  <c r="C680" i="7"/>
  <c r="D680" i="7"/>
  <c r="A681" i="7"/>
  <c r="B681" i="7"/>
  <c r="C681" i="7"/>
  <c r="D681" i="7"/>
  <c r="A682" i="7"/>
  <c r="B682" i="7"/>
  <c r="C682" i="7"/>
  <c r="D682" i="7"/>
  <c r="A683" i="7"/>
  <c r="B683" i="7"/>
  <c r="C683" i="7"/>
  <c r="D683" i="7"/>
  <c r="A684" i="7"/>
  <c r="B684" i="7"/>
  <c r="C684" i="7"/>
  <c r="D684" i="7"/>
  <c r="A685" i="7"/>
  <c r="B685" i="7"/>
  <c r="C685" i="7"/>
  <c r="D685" i="7"/>
  <c r="A686" i="7"/>
  <c r="B686" i="7"/>
  <c r="C686" i="7"/>
  <c r="D686" i="7"/>
  <c r="A687" i="7"/>
  <c r="B687" i="7"/>
  <c r="C687" i="7"/>
  <c r="D687" i="7"/>
  <c r="A688" i="7"/>
  <c r="B688" i="7"/>
  <c r="C688" i="7"/>
  <c r="D688" i="7"/>
  <c r="A689" i="7"/>
  <c r="B689" i="7"/>
  <c r="C689" i="7"/>
  <c r="D689" i="7"/>
  <c r="A690" i="7"/>
  <c r="B690" i="7"/>
  <c r="C690" i="7"/>
  <c r="D690" i="7"/>
  <c r="A691" i="7"/>
  <c r="B691" i="7"/>
  <c r="C691" i="7"/>
  <c r="D691" i="7"/>
  <c r="A692" i="7"/>
  <c r="B692" i="7"/>
  <c r="C692" i="7"/>
  <c r="D692" i="7"/>
  <c r="A693" i="7"/>
  <c r="B693" i="7"/>
  <c r="C693" i="7"/>
  <c r="D693" i="7"/>
  <c r="A694" i="7"/>
  <c r="B694" i="7"/>
  <c r="C694" i="7"/>
  <c r="D694" i="7"/>
  <c r="A695" i="7"/>
  <c r="B695" i="7"/>
  <c r="C695" i="7"/>
  <c r="D695" i="7"/>
  <c r="A696" i="7"/>
  <c r="B696" i="7"/>
  <c r="C696" i="7"/>
  <c r="D696" i="7"/>
  <c r="A697" i="7"/>
  <c r="B697" i="7"/>
  <c r="C697" i="7"/>
  <c r="D697" i="7"/>
  <c r="A698" i="7"/>
  <c r="B698" i="7"/>
  <c r="C698" i="7"/>
  <c r="D698" i="7"/>
  <c r="A699" i="7"/>
  <c r="B699" i="7"/>
  <c r="C699" i="7"/>
  <c r="D699" i="7"/>
  <c r="A700" i="7"/>
  <c r="B700" i="7"/>
  <c r="C700" i="7"/>
  <c r="D700" i="7"/>
  <c r="A701" i="7"/>
  <c r="B701" i="7"/>
  <c r="C701" i="7"/>
  <c r="D701" i="7"/>
  <c r="A702" i="7"/>
  <c r="B702" i="7"/>
  <c r="C702" i="7"/>
  <c r="D702" i="7"/>
  <c r="A703" i="7"/>
  <c r="B703" i="7"/>
  <c r="C703" i="7"/>
  <c r="D703" i="7"/>
  <c r="A704" i="7"/>
  <c r="B704" i="7"/>
  <c r="C704" i="7"/>
  <c r="D704" i="7"/>
  <c r="A705" i="7"/>
  <c r="B705" i="7"/>
  <c r="C705" i="7"/>
  <c r="D705" i="7"/>
  <c r="A706" i="7"/>
  <c r="B706" i="7"/>
  <c r="C706" i="7"/>
  <c r="D706" i="7"/>
  <c r="A707" i="7"/>
  <c r="B707" i="7"/>
  <c r="C707" i="7"/>
  <c r="D707" i="7"/>
  <c r="A708" i="7"/>
  <c r="B708" i="7"/>
  <c r="C708" i="7"/>
  <c r="D708" i="7"/>
  <c r="A709" i="7"/>
  <c r="B709" i="7"/>
  <c r="C709" i="7"/>
  <c r="D709" i="7"/>
  <c r="A710" i="7"/>
  <c r="B710" i="7"/>
  <c r="C710" i="7"/>
  <c r="D710" i="7"/>
  <c r="A711" i="7"/>
  <c r="B711" i="7"/>
  <c r="C711" i="7"/>
  <c r="D711" i="7"/>
  <c r="A712" i="7"/>
  <c r="B712" i="7"/>
  <c r="C712" i="7"/>
  <c r="D712" i="7"/>
  <c r="A713" i="7"/>
  <c r="B713" i="7"/>
  <c r="C713" i="7"/>
  <c r="D713" i="7"/>
  <c r="A714" i="7"/>
  <c r="B714" i="7"/>
  <c r="C714" i="7"/>
  <c r="D714" i="7"/>
  <c r="A715" i="7"/>
  <c r="B715" i="7"/>
  <c r="C715" i="7"/>
  <c r="D715" i="7"/>
  <c r="A716" i="7"/>
  <c r="B716" i="7"/>
  <c r="C716" i="7"/>
  <c r="D716" i="7"/>
  <c r="A717" i="7"/>
  <c r="B717" i="7"/>
  <c r="C717" i="7"/>
  <c r="D717" i="7"/>
  <c r="A718" i="7"/>
  <c r="B718" i="7"/>
  <c r="C718" i="7"/>
  <c r="D718" i="7"/>
  <c r="A719" i="7"/>
  <c r="B719" i="7"/>
  <c r="C719" i="7"/>
  <c r="D719" i="7"/>
  <c r="A720" i="7"/>
  <c r="B720" i="7"/>
  <c r="C720" i="7"/>
  <c r="D720" i="7"/>
  <c r="A721" i="7"/>
  <c r="B721" i="7"/>
  <c r="C721" i="7"/>
  <c r="D721" i="7"/>
  <c r="A722" i="7"/>
  <c r="B722" i="7"/>
  <c r="C722" i="7"/>
  <c r="D722" i="7"/>
  <c r="A723" i="7"/>
  <c r="B723" i="7"/>
  <c r="C723" i="7"/>
  <c r="D723" i="7"/>
  <c r="A724" i="7"/>
  <c r="B724" i="7"/>
  <c r="C724" i="7"/>
  <c r="D724" i="7"/>
  <c r="A725" i="7"/>
  <c r="B725" i="7"/>
  <c r="C725" i="7"/>
  <c r="D725" i="7"/>
  <c r="A726" i="7"/>
  <c r="B726" i="7"/>
  <c r="C726" i="7"/>
  <c r="D726" i="7"/>
  <c r="A727" i="7"/>
  <c r="B727" i="7"/>
  <c r="C727" i="7"/>
  <c r="D727" i="7"/>
  <c r="A728" i="7"/>
  <c r="B728" i="7"/>
  <c r="C728" i="7"/>
  <c r="D728" i="7"/>
  <c r="A729" i="7"/>
  <c r="B729" i="7"/>
  <c r="C729" i="7"/>
  <c r="D729" i="7"/>
  <c r="A730" i="7"/>
  <c r="B730" i="7"/>
  <c r="C730" i="7"/>
  <c r="D730" i="7"/>
  <c r="A731" i="7"/>
  <c r="B731" i="7"/>
  <c r="C731" i="7"/>
  <c r="D731" i="7"/>
  <c r="A732" i="7"/>
  <c r="B732" i="7"/>
  <c r="C732" i="7"/>
  <c r="D732" i="7"/>
  <c r="A733" i="7"/>
  <c r="B733" i="7"/>
  <c r="C733" i="7"/>
  <c r="D733" i="7"/>
  <c r="A734" i="7"/>
  <c r="B734" i="7"/>
  <c r="C734" i="7"/>
  <c r="D734" i="7"/>
  <c r="A735" i="7"/>
  <c r="B735" i="7"/>
  <c r="C735" i="7"/>
  <c r="D735" i="7"/>
  <c r="A736" i="7"/>
  <c r="B736" i="7"/>
  <c r="C736" i="7"/>
  <c r="D736" i="7"/>
  <c r="A737" i="7"/>
  <c r="B737" i="7"/>
  <c r="C737" i="7"/>
  <c r="D737" i="7"/>
  <c r="A738" i="7"/>
  <c r="B738" i="7"/>
  <c r="C738" i="7"/>
  <c r="D738" i="7"/>
  <c r="A739" i="7"/>
  <c r="B739" i="7"/>
  <c r="C739" i="7"/>
  <c r="D739" i="7"/>
  <c r="A740" i="7"/>
  <c r="B740" i="7"/>
  <c r="C740" i="7"/>
  <c r="D740" i="7"/>
  <c r="A741" i="7"/>
  <c r="B741" i="7"/>
  <c r="C741" i="7"/>
  <c r="D741" i="7"/>
  <c r="A742" i="7"/>
  <c r="B742" i="7"/>
  <c r="C742" i="7"/>
  <c r="D742" i="7"/>
  <c r="A743" i="7"/>
  <c r="B743" i="7"/>
  <c r="C743" i="7"/>
  <c r="D743" i="7"/>
  <c r="A744" i="7"/>
  <c r="B744" i="7"/>
  <c r="C744" i="7"/>
  <c r="D744" i="7"/>
  <c r="A745" i="7"/>
  <c r="B745" i="7"/>
  <c r="C745" i="7"/>
  <c r="D745" i="7"/>
  <c r="A746" i="7"/>
  <c r="B746" i="7"/>
  <c r="C746" i="7"/>
  <c r="D746" i="7"/>
  <c r="A747" i="7"/>
  <c r="B747" i="7"/>
  <c r="C747" i="7"/>
  <c r="D747" i="7"/>
  <c r="A748" i="7"/>
  <c r="B748" i="7"/>
  <c r="C748" i="7"/>
  <c r="D748" i="7"/>
  <c r="A749" i="7"/>
  <c r="B749" i="7"/>
  <c r="C749" i="7"/>
  <c r="D749" i="7"/>
  <c r="A750" i="7"/>
  <c r="B750" i="7"/>
  <c r="C750" i="7"/>
  <c r="D750" i="7"/>
  <c r="A751" i="7"/>
  <c r="B751" i="7"/>
  <c r="C751" i="7"/>
  <c r="D751" i="7"/>
  <c r="A752" i="7"/>
  <c r="B752" i="7"/>
  <c r="C752" i="7"/>
  <c r="D752" i="7"/>
  <c r="A753" i="7"/>
  <c r="B753" i="7"/>
  <c r="C753" i="7"/>
  <c r="D753" i="7"/>
  <c r="A754" i="7"/>
  <c r="B754" i="7"/>
  <c r="C754" i="7"/>
  <c r="D754" i="7"/>
  <c r="A755" i="7"/>
  <c r="B755" i="7"/>
  <c r="C755" i="7"/>
  <c r="D755" i="7"/>
  <c r="A756" i="7"/>
  <c r="B756" i="7"/>
  <c r="C756" i="7"/>
  <c r="D756" i="7"/>
  <c r="A757" i="7"/>
  <c r="B757" i="7"/>
  <c r="C757" i="7"/>
  <c r="D757" i="7"/>
  <c r="A758" i="7"/>
  <c r="B758" i="7"/>
  <c r="C758" i="7"/>
  <c r="D758" i="7"/>
  <c r="A759" i="7"/>
  <c r="B759" i="7"/>
  <c r="C759" i="7"/>
  <c r="D759" i="7"/>
  <c r="A760" i="7"/>
  <c r="B760" i="7"/>
  <c r="C760" i="7"/>
  <c r="D760" i="7"/>
  <c r="A761" i="7"/>
  <c r="B761" i="7"/>
  <c r="C761" i="7"/>
  <c r="D761" i="7"/>
  <c r="A762" i="7"/>
  <c r="B762" i="7"/>
  <c r="C762" i="7"/>
  <c r="D762" i="7"/>
  <c r="A763" i="7"/>
  <c r="B763" i="7"/>
  <c r="C763" i="7"/>
  <c r="D763" i="7"/>
  <c r="A764" i="7"/>
  <c r="B764" i="7"/>
  <c r="C764" i="7"/>
  <c r="D764" i="7"/>
  <c r="A765" i="7"/>
  <c r="B765" i="7"/>
  <c r="C765" i="7"/>
  <c r="D765" i="7"/>
  <c r="A766" i="7"/>
  <c r="B766" i="7"/>
  <c r="C766" i="7"/>
  <c r="D766" i="7"/>
  <c r="A767" i="7"/>
  <c r="B767" i="7"/>
  <c r="C767" i="7"/>
  <c r="D767" i="7"/>
  <c r="A768" i="7"/>
  <c r="B768" i="7"/>
  <c r="C768" i="7"/>
  <c r="D768" i="7"/>
  <c r="A769" i="7"/>
  <c r="B769" i="7"/>
  <c r="C769" i="7"/>
  <c r="D769" i="7"/>
  <c r="A770" i="7"/>
  <c r="B770" i="7"/>
  <c r="C770" i="7"/>
  <c r="D770" i="7"/>
  <c r="A771" i="7"/>
  <c r="B771" i="7"/>
  <c r="C771" i="7"/>
  <c r="D771" i="7"/>
  <c r="A772" i="7"/>
  <c r="B772" i="7"/>
  <c r="C772" i="7"/>
  <c r="D772" i="7"/>
  <c r="A773" i="7"/>
  <c r="B773" i="7"/>
  <c r="C773" i="7"/>
  <c r="D773" i="7"/>
  <c r="A774" i="7"/>
  <c r="B774" i="7"/>
  <c r="C774" i="7"/>
  <c r="D774" i="7"/>
  <c r="A775" i="7"/>
  <c r="B775" i="7"/>
  <c r="C775" i="7"/>
  <c r="D775" i="7"/>
  <c r="A776" i="7"/>
  <c r="B776" i="7"/>
  <c r="C776" i="7"/>
  <c r="D776" i="7"/>
  <c r="A777" i="7"/>
  <c r="B777" i="7"/>
  <c r="C777" i="7"/>
  <c r="D777" i="7"/>
  <c r="A778" i="7"/>
  <c r="B778" i="7"/>
  <c r="C778" i="7"/>
  <c r="D778" i="7"/>
  <c r="A779" i="7"/>
  <c r="B779" i="7"/>
  <c r="C779" i="7"/>
  <c r="D779" i="7"/>
  <c r="A780" i="7"/>
  <c r="B780" i="7"/>
  <c r="C780" i="7"/>
  <c r="D780" i="7"/>
  <c r="A781" i="7"/>
  <c r="B781" i="7"/>
  <c r="C781" i="7"/>
  <c r="D781" i="7"/>
  <c r="A782" i="7"/>
  <c r="B782" i="7"/>
  <c r="C782" i="7"/>
  <c r="D782" i="7"/>
  <c r="A783" i="7"/>
  <c r="B783" i="7"/>
  <c r="C783" i="7"/>
  <c r="D783" i="7"/>
  <c r="A784" i="7"/>
  <c r="B784" i="7"/>
  <c r="C784" i="7"/>
  <c r="D784" i="7"/>
  <c r="A785" i="7"/>
  <c r="B785" i="7"/>
  <c r="C785" i="7"/>
  <c r="D785" i="7"/>
  <c r="A786" i="7"/>
  <c r="B786" i="7"/>
  <c r="C786" i="7"/>
  <c r="D786" i="7"/>
  <c r="A787" i="7"/>
  <c r="B787" i="7"/>
  <c r="C787" i="7"/>
  <c r="D787" i="7"/>
  <c r="A788" i="7"/>
  <c r="B788" i="7"/>
  <c r="C788" i="7"/>
  <c r="D788" i="7"/>
  <c r="A789" i="7"/>
  <c r="B789" i="7"/>
  <c r="C789" i="7"/>
  <c r="D789" i="7"/>
  <c r="A790" i="7"/>
  <c r="B790" i="7"/>
  <c r="C790" i="7"/>
  <c r="D790" i="7"/>
  <c r="A791" i="7"/>
  <c r="B791" i="7"/>
  <c r="C791" i="7"/>
  <c r="D791" i="7"/>
  <c r="A792" i="7"/>
  <c r="B792" i="7"/>
  <c r="C792" i="7"/>
  <c r="D792" i="7"/>
  <c r="A793" i="7"/>
  <c r="B793" i="7"/>
  <c r="C793" i="7"/>
  <c r="D793" i="7"/>
  <c r="A794" i="7"/>
  <c r="B794" i="7"/>
  <c r="C794" i="7"/>
  <c r="D794" i="7"/>
  <c r="A795" i="7"/>
  <c r="B795" i="7"/>
  <c r="C795" i="7"/>
  <c r="D795" i="7"/>
  <c r="A796" i="7"/>
  <c r="B796" i="7"/>
  <c r="C796" i="7"/>
  <c r="D796" i="7"/>
  <c r="A797" i="7"/>
  <c r="B797" i="7"/>
  <c r="C797" i="7"/>
  <c r="D797" i="7"/>
  <c r="A798" i="7"/>
  <c r="B798" i="7"/>
  <c r="C798" i="7"/>
  <c r="D798" i="7"/>
  <c r="A799" i="7"/>
  <c r="B799" i="7"/>
  <c r="C799" i="7"/>
  <c r="D799" i="7"/>
  <c r="A800" i="7"/>
  <c r="B800" i="7"/>
  <c r="C800" i="7"/>
  <c r="D800" i="7"/>
  <c r="A801" i="7"/>
  <c r="B801" i="7"/>
  <c r="C801" i="7"/>
  <c r="D801" i="7"/>
  <c r="A802" i="7"/>
  <c r="B802" i="7"/>
  <c r="C802" i="7"/>
  <c r="D802" i="7"/>
  <c r="A803" i="7"/>
  <c r="B803" i="7"/>
  <c r="C803" i="7"/>
  <c r="D803" i="7"/>
  <c r="A804" i="7"/>
  <c r="B804" i="7"/>
  <c r="C804" i="7"/>
  <c r="D804" i="7"/>
  <c r="A805" i="7"/>
  <c r="B805" i="7"/>
  <c r="C805" i="7"/>
  <c r="D805" i="7"/>
  <c r="A806" i="7"/>
  <c r="B806" i="7"/>
  <c r="C806" i="7"/>
  <c r="D806" i="7"/>
  <c r="A807" i="7"/>
  <c r="B807" i="7"/>
  <c r="C807" i="7"/>
  <c r="D807" i="7"/>
  <c r="A808" i="7"/>
  <c r="B808" i="7"/>
  <c r="C808" i="7"/>
  <c r="D808" i="7"/>
  <c r="A809" i="7"/>
  <c r="B809" i="7"/>
  <c r="C809" i="7"/>
  <c r="D809" i="7"/>
  <c r="A810" i="7"/>
  <c r="B810" i="7"/>
  <c r="C810" i="7"/>
  <c r="D810" i="7"/>
  <c r="A811" i="7"/>
  <c r="B811" i="7"/>
  <c r="C811" i="7"/>
  <c r="D811" i="7"/>
  <c r="A812" i="7"/>
  <c r="B812" i="7"/>
  <c r="C812" i="7"/>
  <c r="D812" i="7"/>
  <c r="A813" i="7"/>
  <c r="B813" i="7"/>
  <c r="C813" i="7"/>
  <c r="D813" i="7"/>
  <c r="A814" i="7"/>
  <c r="B814" i="7"/>
  <c r="C814" i="7"/>
  <c r="D814" i="7"/>
  <c r="A815" i="7"/>
  <c r="B815" i="7"/>
  <c r="C815" i="7"/>
  <c r="D815" i="7"/>
  <c r="A816" i="7"/>
  <c r="B816" i="7"/>
  <c r="C816" i="7"/>
  <c r="D816" i="7"/>
  <c r="A817" i="7"/>
  <c r="B817" i="7"/>
  <c r="C817" i="7"/>
  <c r="D817" i="7"/>
  <c r="A818" i="7"/>
  <c r="B818" i="7"/>
  <c r="C818" i="7"/>
  <c r="D818" i="7"/>
  <c r="A819" i="7"/>
  <c r="B819" i="7"/>
  <c r="C819" i="7"/>
  <c r="D819" i="7"/>
  <c r="A820" i="7"/>
  <c r="B820" i="7"/>
  <c r="C820" i="7"/>
  <c r="D820" i="7"/>
  <c r="A821" i="7"/>
  <c r="B821" i="7"/>
  <c r="C821" i="7"/>
  <c r="D821" i="7"/>
  <c r="A822" i="7"/>
  <c r="B822" i="7"/>
  <c r="C822" i="7"/>
  <c r="D822" i="7"/>
  <c r="A823" i="7"/>
  <c r="B823" i="7"/>
  <c r="C823" i="7"/>
  <c r="D823" i="7"/>
  <c r="A824" i="7"/>
  <c r="B824" i="7"/>
  <c r="C824" i="7"/>
  <c r="D824" i="7"/>
  <c r="A825" i="7"/>
  <c r="B825" i="7"/>
  <c r="C825" i="7"/>
  <c r="D825" i="7"/>
  <c r="A826" i="7"/>
  <c r="B826" i="7"/>
  <c r="C826" i="7"/>
  <c r="D826" i="7"/>
  <c r="A827" i="7"/>
  <c r="B827" i="7"/>
  <c r="C827" i="7"/>
  <c r="D827" i="7"/>
  <c r="A828" i="7"/>
  <c r="B828" i="7"/>
  <c r="C828" i="7"/>
  <c r="D828" i="7"/>
  <c r="A829" i="7"/>
  <c r="B829" i="7"/>
  <c r="C829" i="7"/>
  <c r="D829" i="7"/>
  <c r="A830" i="7"/>
  <c r="B830" i="7"/>
  <c r="C830" i="7"/>
  <c r="D830" i="7"/>
  <c r="A831" i="7"/>
  <c r="B831" i="7"/>
  <c r="C831" i="7"/>
  <c r="D831" i="7"/>
  <c r="A832" i="7"/>
  <c r="B832" i="7"/>
  <c r="C832" i="7"/>
  <c r="D832" i="7"/>
  <c r="A833" i="7"/>
  <c r="B833" i="7"/>
  <c r="C833" i="7"/>
  <c r="D833" i="7"/>
  <c r="A834" i="7"/>
  <c r="B834" i="7"/>
  <c r="C834" i="7"/>
  <c r="D834" i="7"/>
  <c r="A835" i="7"/>
  <c r="B835" i="7"/>
  <c r="C835" i="7"/>
  <c r="D835" i="7"/>
  <c r="A836" i="7"/>
  <c r="B836" i="7"/>
  <c r="C836" i="7"/>
  <c r="D836" i="7"/>
  <c r="A837" i="7"/>
  <c r="B837" i="7"/>
  <c r="C837" i="7"/>
  <c r="D837" i="7"/>
  <c r="A838" i="7"/>
  <c r="B838" i="7"/>
  <c r="C838" i="7"/>
  <c r="D838" i="7"/>
  <c r="A839" i="7"/>
  <c r="B839" i="7"/>
  <c r="C839" i="7"/>
  <c r="D839" i="7"/>
  <c r="A840" i="7"/>
  <c r="B840" i="7"/>
  <c r="C840" i="7"/>
  <c r="D840" i="7"/>
  <c r="A841" i="7"/>
  <c r="B841" i="7"/>
  <c r="C841" i="7"/>
  <c r="D841" i="7"/>
  <c r="A842" i="7"/>
  <c r="B842" i="7"/>
  <c r="C842" i="7"/>
  <c r="D842" i="7"/>
  <c r="A843" i="7"/>
  <c r="B843" i="7"/>
  <c r="C843" i="7"/>
  <c r="D843" i="7"/>
  <c r="A844" i="7"/>
  <c r="B844" i="7"/>
  <c r="C844" i="7"/>
  <c r="D844" i="7"/>
  <c r="A845" i="7"/>
  <c r="B845" i="7"/>
  <c r="C845" i="7"/>
  <c r="D845" i="7"/>
  <c r="A846" i="7"/>
  <c r="B846" i="7"/>
  <c r="C846" i="7"/>
  <c r="D846" i="7"/>
  <c r="A847" i="7"/>
  <c r="B847" i="7"/>
  <c r="C847" i="7"/>
  <c r="D847" i="7"/>
  <c r="A848" i="7"/>
  <c r="B848" i="7"/>
  <c r="C848" i="7"/>
  <c r="D848" i="7"/>
  <c r="A849" i="7"/>
  <c r="B849" i="7"/>
  <c r="C849" i="7"/>
  <c r="D849" i="7"/>
  <c r="A850" i="7"/>
  <c r="B850" i="7"/>
  <c r="C850" i="7"/>
  <c r="D850" i="7"/>
  <c r="A851" i="7"/>
  <c r="B851" i="7"/>
  <c r="C851" i="7"/>
  <c r="D851" i="7"/>
  <c r="A852" i="7"/>
  <c r="B852" i="7"/>
  <c r="C852" i="7"/>
  <c r="D852" i="7"/>
  <c r="A853" i="7"/>
  <c r="B853" i="7"/>
  <c r="C853" i="7"/>
  <c r="D853" i="7"/>
  <c r="A854" i="7"/>
  <c r="B854" i="7"/>
  <c r="C854" i="7"/>
  <c r="D854" i="7"/>
  <c r="A855" i="7"/>
  <c r="B855" i="7"/>
  <c r="C855" i="7"/>
  <c r="D855" i="7"/>
  <c r="A856" i="7"/>
  <c r="B856" i="7"/>
  <c r="C856" i="7"/>
  <c r="D856" i="7"/>
  <c r="A857" i="7"/>
  <c r="B857" i="7"/>
  <c r="C857" i="7"/>
  <c r="D857" i="7"/>
  <c r="A858" i="7"/>
  <c r="B858" i="7"/>
  <c r="C858" i="7"/>
  <c r="D858" i="7"/>
  <c r="A859" i="7"/>
  <c r="B859" i="7"/>
  <c r="C859" i="7"/>
  <c r="D859" i="7"/>
  <c r="N12" i="10"/>
  <c r="M12" i="10"/>
  <c r="L12" i="10"/>
  <c r="K12" i="10"/>
  <c r="J12" i="10"/>
  <c r="I12" i="10"/>
  <c r="H12" i="10"/>
  <c r="G12" i="10"/>
  <c r="F12" i="10"/>
  <c r="E12" i="10"/>
  <c r="N10" i="10"/>
  <c r="M10" i="10"/>
  <c r="L10" i="10"/>
  <c r="K10" i="10"/>
  <c r="J10" i="10"/>
  <c r="I10" i="10"/>
  <c r="H10" i="10"/>
  <c r="G10" i="10"/>
  <c r="F10" i="10"/>
  <c r="E10" i="10"/>
  <c r="N8" i="10"/>
  <c r="M8" i="10"/>
  <c r="L8" i="10"/>
  <c r="K8" i="10"/>
  <c r="J8" i="10"/>
  <c r="I8" i="10"/>
  <c r="H8" i="10"/>
  <c r="G8" i="10"/>
  <c r="F8" i="10"/>
  <c r="E8" i="10"/>
  <c r="N6" i="10"/>
  <c r="M6" i="10"/>
  <c r="L6" i="10"/>
  <c r="K6" i="10"/>
  <c r="J6" i="10"/>
  <c r="I6" i="10"/>
  <c r="H6" i="10"/>
  <c r="G6" i="10"/>
  <c r="F6" i="10"/>
  <c r="E6" i="10"/>
  <c r="N4" i="10"/>
  <c r="M4" i="10"/>
  <c r="L4" i="10"/>
  <c r="K4" i="10"/>
  <c r="J4" i="10"/>
  <c r="I4" i="10"/>
  <c r="H4" i="10"/>
  <c r="G4" i="10"/>
  <c r="F4" i="10"/>
  <c r="E4" i="10"/>
  <c r="N15" i="9"/>
  <c r="N16" i="9"/>
  <c r="E16" i="9"/>
  <c r="N12" i="9"/>
  <c r="N17" i="9" s="1"/>
  <c r="L10" i="9"/>
  <c r="J8" i="9"/>
  <c r="H6" i="9"/>
  <c r="F4" i="9"/>
  <c r="F6" i="9"/>
  <c r="G6" i="9"/>
  <c r="I6" i="9"/>
  <c r="J6" i="9"/>
  <c r="K6" i="9"/>
  <c r="L6" i="9"/>
  <c r="M6" i="9"/>
  <c r="N6" i="9"/>
  <c r="F8" i="9"/>
  <c r="G8" i="9"/>
  <c r="H8" i="9"/>
  <c r="I8" i="9"/>
  <c r="K8" i="9"/>
  <c r="L8" i="9"/>
  <c r="M8" i="9"/>
  <c r="N8" i="9"/>
  <c r="F10" i="9"/>
  <c r="G10" i="9"/>
  <c r="H10" i="9"/>
  <c r="I10" i="9"/>
  <c r="J10" i="9"/>
  <c r="K10" i="9"/>
  <c r="M10" i="9"/>
  <c r="N10" i="9"/>
  <c r="F12" i="9"/>
  <c r="G12" i="9"/>
  <c r="H12" i="9"/>
  <c r="I12" i="9"/>
  <c r="J12" i="9"/>
  <c r="K12" i="9"/>
  <c r="L12" i="9"/>
  <c r="M12" i="9"/>
  <c r="G4" i="9"/>
  <c r="H4" i="9"/>
  <c r="I4" i="9"/>
  <c r="J4" i="9"/>
  <c r="K4" i="9"/>
  <c r="L4" i="9"/>
  <c r="M4" i="9"/>
  <c r="N4" i="9"/>
  <c r="E4" i="9"/>
  <c r="E6" i="9"/>
  <c r="E8" i="9"/>
  <c r="E10" i="9"/>
  <c r="E12" i="9"/>
  <c r="E17" i="9" s="1"/>
  <c r="C11" i="9"/>
  <c r="C9" i="9"/>
  <c r="C7" i="9"/>
  <c r="C5" i="9"/>
  <c r="C45" i="8"/>
  <c r="A45" i="8"/>
  <c r="C44" i="8"/>
  <c r="A44" i="8"/>
  <c r="C42" i="8"/>
  <c r="A42" i="8"/>
  <c r="C41" i="8"/>
  <c r="A41" i="8"/>
  <c r="C40" i="8"/>
  <c r="A40" i="8"/>
  <c r="C39" i="8"/>
  <c r="A39" i="8"/>
  <c r="C38" i="8"/>
  <c r="A38" i="8"/>
  <c r="C37" i="8"/>
  <c r="A37" i="8"/>
  <c r="C36" i="8"/>
  <c r="A36" i="8"/>
  <c r="C35" i="8"/>
  <c r="A35" i="8"/>
  <c r="C34" i="8"/>
  <c r="A34" i="8"/>
  <c r="C33" i="8"/>
  <c r="A33" i="8"/>
  <c r="C32" i="8"/>
  <c r="A32" i="8"/>
  <c r="C31" i="8"/>
  <c r="A31" i="8"/>
  <c r="C30" i="8"/>
  <c r="A30" i="8"/>
  <c r="C29" i="8"/>
  <c r="A29" i="8"/>
  <c r="C28" i="8"/>
  <c r="A28" i="8"/>
  <c r="C27" i="8"/>
  <c r="A27" i="8"/>
  <c r="C26" i="8"/>
  <c r="A26" i="8"/>
  <c r="C25" i="8"/>
  <c r="A25" i="8"/>
  <c r="C24" i="8"/>
  <c r="A24" i="8"/>
  <c r="C23" i="8"/>
  <c r="A23" i="8"/>
  <c r="C22" i="8"/>
  <c r="A22" i="8"/>
  <c r="C21" i="8"/>
  <c r="A21" i="8"/>
  <c r="C20" i="8"/>
  <c r="A20" i="8"/>
  <c r="C19" i="8"/>
  <c r="A19" i="8"/>
  <c r="C18" i="8"/>
  <c r="A18" i="8"/>
  <c r="C17" i="8"/>
  <c r="A17" i="8"/>
  <c r="C16" i="8"/>
  <c r="A16" i="8"/>
  <c r="C15" i="8"/>
  <c r="A15" i="8"/>
  <c r="C14" i="8"/>
  <c r="A14" i="8"/>
  <c r="C13" i="8"/>
  <c r="A13" i="8"/>
  <c r="C12" i="8"/>
  <c r="A12" i="8"/>
  <c r="C11" i="8"/>
  <c r="A11" i="8"/>
  <c r="C10" i="8"/>
  <c r="A10" i="8"/>
  <c r="C9" i="8"/>
  <c r="A9" i="8"/>
  <c r="C8" i="8"/>
  <c r="A8" i="8"/>
  <c r="C7" i="8"/>
  <c r="A7" i="8"/>
  <c r="C6" i="8"/>
  <c r="A6" i="8"/>
  <c r="C5" i="8"/>
  <c r="A5" i="8"/>
  <c r="C4" i="8"/>
  <c r="A4" i="8"/>
  <c r="C3" i="8"/>
  <c r="A3" i="8"/>
  <c r="C2" i="8"/>
  <c r="A2" i="8"/>
  <c r="D1" i="8"/>
  <c r="C1" i="8"/>
  <c r="B1" i="8"/>
  <c r="A1" i="8"/>
  <c r="C31" i="7"/>
  <c r="B31" i="7"/>
  <c r="A31" i="7"/>
  <c r="C30" i="7"/>
  <c r="B30" i="7"/>
  <c r="A30" i="7"/>
  <c r="N23" i="7"/>
  <c r="N22" i="7"/>
  <c r="N21" i="7"/>
  <c r="F6" i="7" a="1"/>
  <c r="F6" i="7"/>
  <c r="E6" i="7" a="1"/>
  <c r="E6" i="7"/>
  <c r="D6" i="7" a="1"/>
  <c r="D6" i="7" s="1"/>
  <c r="C6" i="7" a="1"/>
  <c r="C6" i="7" s="1"/>
  <c r="F5" i="7" a="1"/>
  <c r="F5" i="7"/>
  <c r="E5" i="7" a="1"/>
  <c r="E5" i="7" s="1"/>
  <c r="D5" i="7" a="1"/>
  <c r="D5" i="7"/>
  <c r="C5" i="7" a="1"/>
  <c r="C5" i="7"/>
  <c r="F4" i="7"/>
  <c r="E4" i="7"/>
  <c r="D4" i="7"/>
  <c r="C4" i="7"/>
  <c r="C859" i="6"/>
  <c r="B859" i="6"/>
  <c r="A859" i="6"/>
  <c r="C858" i="6"/>
  <c r="B858" i="6"/>
  <c r="A858" i="6"/>
  <c r="C857" i="6"/>
  <c r="B857" i="6"/>
  <c r="A857" i="6"/>
  <c r="C856" i="6"/>
  <c r="B856" i="6"/>
  <c r="A856" i="6"/>
  <c r="C855" i="6"/>
  <c r="B855" i="6"/>
  <c r="A855" i="6"/>
  <c r="C854" i="6"/>
  <c r="B854" i="6"/>
  <c r="A854" i="6"/>
  <c r="C853" i="6"/>
  <c r="B853" i="6"/>
  <c r="A853" i="6"/>
  <c r="C852" i="6"/>
  <c r="B852" i="6"/>
  <c r="A852" i="6"/>
  <c r="C851" i="6"/>
  <c r="B851" i="6"/>
  <c r="A851" i="6"/>
  <c r="C850" i="6"/>
  <c r="B850" i="6"/>
  <c r="A850" i="6"/>
  <c r="C849" i="6"/>
  <c r="B849" i="6"/>
  <c r="A849" i="6"/>
  <c r="C848" i="6"/>
  <c r="B848" i="6"/>
  <c r="A848" i="6"/>
  <c r="C847" i="6"/>
  <c r="B847" i="6"/>
  <c r="A847" i="6"/>
  <c r="C846" i="6"/>
  <c r="B846" i="6"/>
  <c r="A846" i="6"/>
  <c r="C845" i="6"/>
  <c r="B845" i="6"/>
  <c r="A845" i="6"/>
  <c r="C844" i="6"/>
  <c r="B844" i="6"/>
  <c r="A844" i="6"/>
  <c r="C843" i="6"/>
  <c r="B843" i="6"/>
  <c r="A843" i="6"/>
  <c r="C842" i="6"/>
  <c r="B842" i="6"/>
  <c r="A842" i="6"/>
  <c r="C841" i="6"/>
  <c r="B841" i="6"/>
  <c r="A841" i="6"/>
  <c r="C840" i="6"/>
  <c r="B840" i="6"/>
  <c r="A840" i="6"/>
  <c r="C839" i="6"/>
  <c r="B839" i="6"/>
  <c r="A839" i="6"/>
  <c r="C838" i="6"/>
  <c r="B838" i="6"/>
  <c r="A838" i="6"/>
  <c r="C837" i="6"/>
  <c r="B837" i="6"/>
  <c r="A837" i="6"/>
  <c r="C836" i="6"/>
  <c r="B836" i="6"/>
  <c r="A836" i="6"/>
  <c r="C835" i="6"/>
  <c r="B835" i="6"/>
  <c r="A835" i="6"/>
  <c r="C834" i="6"/>
  <c r="B834" i="6"/>
  <c r="A834" i="6"/>
  <c r="C833" i="6"/>
  <c r="B833" i="6"/>
  <c r="A833" i="6"/>
  <c r="C832" i="6"/>
  <c r="B832" i="6"/>
  <c r="A832" i="6"/>
  <c r="C831" i="6"/>
  <c r="B831" i="6"/>
  <c r="A831" i="6"/>
  <c r="C830" i="6"/>
  <c r="B830" i="6"/>
  <c r="A830" i="6"/>
  <c r="C829" i="6"/>
  <c r="B829" i="6"/>
  <c r="A829" i="6"/>
  <c r="C828" i="6"/>
  <c r="B828" i="6"/>
  <c r="A828" i="6"/>
  <c r="C827" i="6"/>
  <c r="B827" i="6"/>
  <c r="A827" i="6"/>
  <c r="C826" i="6"/>
  <c r="B826" i="6"/>
  <c r="A826" i="6"/>
  <c r="C825" i="6"/>
  <c r="B825" i="6"/>
  <c r="A825" i="6"/>
  <c r="C824" i="6"/>
  <c r="B824" i="6"/>
  <c r="A824" i="6"/>
  <c r="C823" i="6"/>
  <c r="B823" i="6"/>
  <c r="A823" i="6"/>
  <c r="C822" i="6"/>
  <c r="B822" i="6"/>
  <c r="A822" i="6"/>
  <c r="C821" i="6"/>
  <c r="B821" i="6"/>
  <c r="A821" i="6"/>
  <c r="C820" i="6"/>
  <c r="B820" i="6"/>
  <c r="A820" i="6"/>
  <c r="C819" i="6"/>
  <c r="B819" i="6"/>
  <c r="A819" i="6"/>
  <c r="C818" i="6"/>
  <c r="B818" i="6"/>
  <c r="A818" i="6"/>
  <c r="C817" i="6"/>
  <c r="B817" i="6"/>
  <c r="A817" i="6"/>
  <c r="C816" i="6"/>
  <c r="B816" i="6"/>
  <c r="A816" i="6"/>
  <c r="C815" i="6"/>
  <c r="B815" i="6"/>
  <c r="A815" i="6"/>
  <c r="C814" i="6"/>
  <c r="B814" i="6"/>
  <c r="A814" i="6"/>
  <c r="C813" i="6"/>
  <c r="B813" i="6"/>
  <c r="A813" i="6"/>
  <c r="C812" i="6"/>
  <c r="B812" i="6"/>
  <c r="A812" i="6"/>
  <c r="C811" i="6"/>
  <c r="B811" i="6"/>
  <c r="A811" i="6"/>
  <c r="C810" i="6"/>
  <c r="B810" i="6"/>
  <c r="A810" i="6"/>
  <c r="C809" i="6"/>
  <c r="B809" i="6"/>
  <c r="A809" i="6"/>
  <c r="C808" i="6"/>
  <c r="B808" i="6"/>
  <c r="A808" i="6"/>
  <c r="C807" i="6"/>
  <c r="B807" i="6"/>
  <c r="A807" i="6"/>
  <c r="C806" i="6"/>
  <c r="B806" i="6"/>
  <c r="A806" i="6"/>
  <c r="C805" i="6"/>
  <c r="B805" i="6"/>
  <c r="A805" i="6"/>
  <c r="C804" i="6"/>
  <c r="B804" i="6"/>
  <c r="A804" i="6"/>
  <c r="C803" i="6"/>
  <c r="B803" i="6"/>
  <c r="A803" i="6"/>
  <c r="C802" i="6"/>
  <c r="B802" i="6"/>
  <c r="A802" i="6"/>
  <c r="C801" i="6"/>
  <c r="B801" i="6"/>
  <c r="A801" i="6"/>
  <c r="C800" i="6"/>
  <c r="B800" i="6"/>
  <c r="A800" i="6"/>
  <c r="C799" i="6"/>
  <c r="B799" i="6"/>
  <c r="A799" i="6"/>
  <c r="C798" i="6"/>
  <c r="B798" i="6"/>
  <c r="A798" i="6"/>
  <c r="C797" i="6"/>
  <c r="B797" i="6"/>
  <c r="A797" i="6"/>
  <c r="C796" i="6"/>
  <c r="B796" i="6"/>
  <c r="A796" i="6"/>
  <c r="C795" i="6"/>
  <c r="B795" i="6"/>
  <c r="A795" i="6"/>
  <c r="C794" i="6"/>
  <c r="B794" i="6"/>
  <c r="A794" i="6"/>
  <c r="C793" i="6"/>
  <c r="B793" i="6"/>
  <c r="A793" i="6"/>
  <c r="C792" i="6"/>
  <c r="B792" i="6"/>
  <c r="A792" i="6"/>
  <c r="C791" i="6"/>
  <c r="B791" i="6"/>
  <c r="A791" i="6"/>
  <c r="C790" i="6"/>
  <c r="B790" i="6"/>
  <c r="A790" i="6"/>
  <c r="C789" i="6"/>
  <c r="B789" i="6"/>
  <c r="A789" i="6"/>
  <c r="C788" i="6"/>
  <c r="B788" i="6"/>
  <c r="A788" i="6"/>
  <c r="C787" i="6"/>
  <c r="B787" i="6"/>
  <c r="A787" i="6"/>
  <c r="C786" i="6"/>
  <c r="B786" i="6"/>
  <c r="A786" i="6"/>
  <c r="C785" i="6"/>
  <c r="B785" i="6"/>
  <c r="A785" i="6"/>
  <c r="C784" i="6"/>
  <c r="B784" i="6"/>
  <c r="A784" i="6"/>
  <c r="C783" i="6"/>
  <c r="B783" i="6"/>
  <c r="A783" i="6"/>
  <c r="C782" i="6"/>
  <c r="B782" i="6"/>
  <c r="A782" i="6"/>
  <c r="C781" i="6"/>
  <c r="B781" i="6"/>
  <c r="A781" i="6"/>
  <c r="C780" i="6"/>
  <c r="B780" i="6"/>
  <c r="A780" i="6"/>
  <c r="C779" i="6"/>
  <c r="B779" i="6"/>
  <c r="A779" i="6"/>
  <c r="C778" i="6"/>
  <c r="B778" i="6"/>
  <c r="A778" i="6"/>
  <c r="C777" i="6"/>
  <c r="B777" i="6"/>
  <c r="A777" i="6"/>
  <c r="C776" i="6"/>
  <c r="B776" i="6"/>
  <c r="A776" i="6"/>
  <c r="C775" i="6"/>
  <c r="B775" i="6"/>
  <c r="A775" i="6"/>
  <c r="C774" i="6"/>
  <c r="B774" i="6"/>
  <c r="A774" i="6"/>
  <c r="C773" i="6"/>
  <c r="B773" i="6"/>
  <c r="A773" i="6"/>
  <c r="C772" i="6"/>
  <c r="B772" i="6"/>
  <c r="A772" i="6"/>
  <c r="C771" i="6"/>
  <c r="B771" i="6"/>
  <c r="A771" i="6"/>
  <c r="C770" i="6"/>
  <c r="B770" i="6"/>
  <c r="A770" i="6"/>
  <c r="C769" i="6"/>
  <c r="B769" i="6"/>
  <c r="A769" i="6"/>
  <c r="C768" i="6"/>
  <c r="B768" i="6"/>
  <c r="A768" i="6"/>
  <c r="C767" i="6"/>
  <c r="B767" i="6"/>
  <c r="A767" i="6"/>
  <c r="C766" i="6"/>
  <c r="B766" i="6"/>
  <c r="A766" i="6"/>
  <c r="C765" i="6"/>
  <c r="B765" i="6"/>
  <c r="A765" i="6"/>
  <c r="C764" i="6"/>
  <c r="B764" i="6"/>
  <c r="A764" i="6"/>
  <c r="C763" i="6"/>
  <c r="B763" i="6"/>
  <c r="A763" i="6"/>
  <c r="C762" i="6"/>
  <c r="B762" i="6"/>
  <c r="A762" i="6"/>
  <c r="C761" i="6"/>
  <c r="B761" i="6"/>
  <c r="A761" i="6"/>
  <c r="C760" i="6"/>
  <c r="B760" i="6"/>
  <c r="A760" i="6"/>
  <c r="C759" i="6"/>
  <c r="B759" i="6"/>
  <c r="A759" i="6"/>
  <c r="C758" i="6"/>
  <c r="B758" i="6"/>
  <c r="A758" i="6"/>
  <c r="C757" i="6"/>
  <c r="B757" i="6"/>
  <c r="A757" i="6"/>
  <c r="C756" i="6"/>
  <c r="B756" i="6"/>
  <c r="A756" i="6"/>
  <c r="C755" i="6"/>
  <c r="B755" i="6"/>
  <c r="A755" i="6"/>
  <c r="C754" i="6"/>
  <c r="B754" i="6"/>
  <c r="A754" i="6"/>
  <c r="C753" i="6"/>
  <c r="B753" i="6"/>
  <c r="A753" i="6"/>
  <c r="C752" i="6"/>
  <c r="B752" i="6"/>
  <c r="A752" i="6"/>
  <c r="C751" i="6"/>
  <c r="B751" i="6"/>
  <c r="A751" i="6"/>
  <c r="C750" i="6"/>
  <c r="B750" i="6"/>
  <c r="A750" i="6"/>
  <c r="C749" i="6"/>
  <c r="B749" i="6"/>
  <c r="A749" i="6"/>
  <c r="C748" i="6"/>
  <c r="B748" i="6"/>
  <c r="A748" i="6"/>
  <c r="C747" i="6"/>
  <c r="B747" i="6"/>
  <c r="A747" i="6"/>
  <c r="C746" i="6"/>
  <c r="B746" i="6"/>
  <c r="A746" i="6"/>
  <c r="C745" i="6"/>
  <c r="B745" i="6"/>
  <c r="A745" i="6"/>
  <c r="C744" i="6"/>
  <c r="B744" i="6"/>
  <c r="A744" i="6"/>
  <c r="C743" i="6"/>
  <c r="B743" i="6"/>
  <c r="A743" i="6"/>
  <c r="C742" i="6"/>
  <c r="B742" i="6"/>
  <c r="A742" i="6"/>
  <c r="C741" i="6"/>
  <c r="B741" i="6"/>
  <c r="A741" i="6"/>
  <c r="C740" i="6"/>
  <c r="B740" i="6"/>
  <c r="A740" i="6"/>
  <c r="C739" i="6"/>
  <c r="B739" i="6"/>
  <c r="A739" i="6"/>
  <c r="C738" i="6"/>
  <c r="B738" i="6"/>
  <c r="A738" i="6"/>
  <c r="C737" i="6"/>
  <c r="B737" i="6"/>
  <c r="A737" i="6"/>
  <c r="C736" i="6"/>
  <c r="B736" i="6"/>
  <c r="A736" i="6"/>
  <c r="C735" i="6"/>
  <c r="B735" i="6"/>
  <c r="A735" i="6"/>
  <c r="C734" i="6"/>
  <c r="B734" i="6"/>
  <c r="A734" i="6"/>
  <c r="C733" i="6"/>
  <c r="B733" i="6"/>
  <c r="A733" i="6"/>
  <c r="C732" i="6"/>
  <c r="B732" i="6"/>
  <c r="A732" i="6"/>
  <c r="C731" i="6"/>
  <c r="B731" i="6"/>
  <c r="A731" i="6"/>
  <c r="C730" i="6"/>
  <c r="B730" i="6"/>
  <c r="A730" i="6"/>
  <c r="C729" i="6"/>
  <c r="B729" i="6"/>
  <c r="A729" i="6"/>
  <c r="C728" i="6"/>
  <c r="B728" i="6"/>
  <c r="A728" i="6"/>
  <c r="C727" i="6"/>
  <c r="B727" i="6"/>
  <c r="A727" i="6"/>
  <c r="C726" i="6"/>
  <c r="B726" i="6"/>
  <c r="A726" i="6"/>
  <c r="C725" i="6"/>
  <c r="B725" i="6"/>
  <c r="A725" i="6"/>
  <c r="C724" i="6"/>
  <c r="B724" i="6"/>
  <c r="A724" i="6"/>
  <c r="C723" i="6"/>
  <c r="B723" i="6"/>
  <c r="A723" i="6"/>
  <c r="C722" i="6"/>
  <c r="B722" i="6"/>
  <c r="A722" i="6"/>
  <c r="C721" i="6"/>
  <c r="B721" i="6"/>
  <c r="A721" i="6"/>
  <c r="C720" i="6"/>
  <c r="B720" i="6"/>
  <c r="A720" i="6"/>
  <c r="C719" i="6"/>
  <c r="B719" i="6"/>
  <c r="A719" i="6"/>
  <c r="C718" i="6"/>
  <c r="B718" i="6"/>
  <c r="A718" i="6"/>
  <c r="C717" i="6"/>
  <c r="B717" i="6"/>
  <c r="A717" i="6"/>
  <c r="C716" i="6"/>
  <c r="B716" i="6"/>
  <c r="A716" i="6"/>
  <c r="C715" i="6"/>
  <c r="B715" i="6"/>
  <c r="A715" i="6"/>
  <c r="C714" i="6"/>
  <c r="B714" i="6"/>
  <c r="A714" i="6"/>
  <c r="C713" i="6"/>
  <c r="B713" i="6"/>
  <c r="A713" i="6"/>
  <c r="C712" i="6"/>
  <c r="B712" i="6"/>
  <c r="A712" i="6"/>
  <c r="C711" i="6"/>
  <c r="B711" i="6"/>
  <c r="A711" i="6"/>
  <c r="C710" i="6"/>
  <c r="B710" i="6"/>
  <c r="A710" i="6"/>
  <c r="C709" i="6"/>
  <c r="B709" i="6"/>
  <c r="A709" i="6"/>
  <c r="C708" i="6"/>
  <c r="B708" i="6"/>
  <c r="A708" i="6"/>
  <c r="C707" i="6"/>
  <c r="B707" i="6"/>
  <c r="A707" i="6"/>
  <c r="C706" i="6"/>
  <c r="B706" i="6"/>
  <c r="A706" i="6"/>
  <c r="C705" i="6"/>
  <c r="B705" i="6"/>
  <c r="A705" i="6"/>
  <c r="C704" i="6"/>
  <c r="B704" i="6"/>
  <c r="A704" i="6"/>
  <c r="C703" i="6"/>
  <c r="B703" i="6"/>
  <c r="A703" i="6"/>
  <c r="C702" i="6"/>
  <c r="B702" i="6"/>
  <c r="A702" i="6"/>
  <c r="C701" i="6"/>
  <c r="B701" i="6"/>
  <c r="A701" i="6"/>
  <c r="C700" i="6"/>
  <c r="B700" i="6"/>
  <c r="A700" i="6"/>
  <c r="C699" i="6"/>
  <c r="B699" i="6"/>
  <c r="A699" i="6"/>
  <c r="C698" i="6"/>
  <c r="B698" i="6"/>
  <c r="A698" i="6"/>
  <c r="C697" i="6"/>
  <c r="B697" i="6"/>
  <c r="A697" i="6"/>
  <c r="C696" i="6"/>
  <c r="B696" i="6"/>
  <c r="A696" i="6"/>
  <c r="C695" i="6"/>
  <c r="B695" i="6"/>
  <c r="A695" i="6"/>
  <c r="C694" i="6"/>
  <c r="B694" i="6"/>
  <c r="A694" i="6"/>
  <c r="C693" i="6"/>
  <c r="B693" i="6"/>
  <c r="A693" i="6"/>
  <c r="C692" i="6"/>
  <c r="B692" i="6"/>
  <c r="A692" i="6"/>
  <c r="C691" i="6"/>
  <c r="B691" i="6"/>
  <c r="A691" i="6"/>
  <c r="C690" i="6"/>
  <c r="B690" i="6"/>
  <c r="A690" i="6"/>
  <c r="C689" i="6"/>
  <c r="B689" i="6"/>
  <c r="A689" i="6"/>
  <c r="C688" i="6"/>
  <c r="B688" i="6"/>
  <c r="A688" i="6"/>
  <c r="C687" i="6"/>
  <c r="B687" i="6"/>
  <c r="A687" i="6"/>
  <c r="C686" i="6"/>
  <c r="B686" i="6"/>
  <c r="A686" i="6"/>
  <c r="C685" i="6"/>
  <c r="B685" i="6"/>
  <c r="A685" i="6"/>
  <c r="C684" i="6"/>
  <c r="B684" i="6"/>
  <c r="A684" i="6"/>
  <c r="C683" i="6"/>
  <c r="B683" i="6"/>
  <c r="A683" i="6"/>
  <c r="C682" i="6"/>
  <c r="B682" i="6"/>
  <c r="A682" i="6"/>
  <c r="C681" i="6"/>
  <c r="B681" i="6"/>
  <c r="A681" i="6"/>
  <c r="C680" i="6"/>
  <c r="B680" i="6"/>
  <c r="A680" i="6"/>
  <c r="C679" i="6"/>
  <c r="B679" i="6"/>
  <c r="A679" i="6"/>
  <c r="C678" i="6"/>
  <c r="B678" i="6"/>
  <c r="A678" i="6"/>
  <c r="C677" i="6"/>
  <c r="B677" i="6"/>
  <c r="A677" i="6"/>
  <c r="C676" i="6"/>
  <c r="B676" i="6"/>
  <c r="A676" i="6"/>
  <c r="C675" i="6"/>
  <c r="B675" i="6"/>
  <c r="A675" i="6"/>
  <c r="C674" i="6"/>
  <c r="B674" i="6"/>
  <c r="A674" i="6"/>
  <c r="C673" i="6"/>
  <c r="B673" i="6"/>
  <c r="A673" i="6"/>
  <c r="C672" i="6"/>
  <c r="B672" i="6"/>
  <c r="A672" i="6"/>
  <c r="C671" i="6"/>
  <c r="B671" i="6"/>
  <c r="A671" i="6"/>
  <c r="C670" i="6"/>
  <c r="B670" i="6"/>
  <c r="A670" i="6"/>
  <c r="C669" i="6"/>
  <c r="B669" i="6"/>
  <c r="A669" i="6"/>
  <c r="C668" i="6"/>
  <c r="B668" i="6"/>
  <c r="A668" i="6"/>
  <c r="C667" i="6"/>
  <c r="B667" i="6"/>
  <c r="A667" i="6"/>
  <c r="C666" i="6"/>
  <c r="B666" i="6"/>
  <c r="A666" i="6"/>
  <c r="C665" i="6"/>
  <c r="B665" i="6"/>
  <c r="A665" i="6"/>
  <c r="C664" i="6"/>
  <c r="B664" i="6"/>
  <c r="A664" i="6"/>
  <c r="C663" i="6"/>
  <c r="B663" i="6"/>
  <c r="A663" i="6"/>
  <c r="C662" i="6"/>
  <c r="B662" i="6"/>
  <c r="A662" i="6"/>
  <c r="C661" i="6"/>
  <c r="B661" i="6"/>
  <c r="A661" i="6"/>
  <c r="C660" i="6"/>
  <c r="B660" i="6"/>
  <c r="A660" i="6"/>
  <c r="C659" i="6"/>
  <c r="B659" i="6"/>
  <c r="A659" i="6"/>
  <c r="C658" i="6"/>
  <c r="B658" i="6"/>
  <c r="A658" i="6"/>
  <c r="C657" i="6"/>
  <c r="B657" i="6"/>
  <c r="A657" i="6"/>
  <c r="C656" i="6"/>
  <c r="B656" i="6"/>
  <c r="A656" i="6"/>
  <c r="C655" i="6"/>
  <c r="B655" i="6"/>
  <c r="A655" i="6"/>
  <c r="C654" i="6"/>
  <c r="B654" i="6"/>
  <c r="A654" i="6"/>
  <c r="C653" i="6"/>
  <c r="B653" i="6"/>
  <c r="A653" i="6"/>
  <c r="C652" i="6"/>
  <c r="B652" i="6"/>
  <c r="A652" i="6"/>
  <c r="C651" i="6"/>
  <c r="B651" i="6"/>
  <c r="A651" i="6"/>
  <c r="C650" i="6"/>
  <c r="B650" i="6"/>
  <c r="A650" i="6"/>
  <c r="C649" i="6"/>
  <c r="B649" i="6"/>
  <c r="A649" i="6"/>
  <c r="C648" i="6"/>
  <c r="B648" i="6"/>
  <c r="A648" i="6"/>
  <c r="C647" i="6"/>
  <c r="B647" i="6"/>
  <c r="A647" i="6"/>
  <c r="C646" i="6"/>
  <c r="B646" i="6"/>
  <c r="A646" i="6"/>
  <c r="C645" i="6"/>
  <c r="B645" i="6"/>
  <c r="A645" i="6"/>
  <c r="C644" i="6"/>
  <c r="B644" i="6"/>
  <c r="A644" i="6"/>
  <c r="C643" i="6"/>
  <c r="B643" i="6"/>
  <c r="A643" i="6"/>
  <c r="C642" i="6"/>
  <c r="B642" i="6"/>
  <c r="A642" i="6"/>
  <c r="C641" i="6"/>
  <c r="B641" i="6"/>
  <c r="A641" i="6"/>
  <c r="C640" i="6"/>
  <c r="B640" i="6"/>
  <c r="A640" i="6"/>
  <c r="C639" i="6"/>
  <c r="B639" i="6"/>
  <c r="A639" i="6"/>
  <c r="C638" i="6"/>
  <c r="B638" i="6"/>
  <c r="A638" i="6"/>
  <c r="C637" i="6"/>
  <c r="B637" i="6"/>
  <c r="A637" i="6"/>
  <c r="C636" i="6"/>
  <c r="B636" i="6"/>
  <c r="A636" i="6"/>
  <c r="C635" i="6"/>
  <c r="B635" i="6"/>
  <c r="A635" i="6"/>
  <c r="C634" i="6"/>
  <c r="B634" i="6"/>
  <c r="A634" i="6"/>
  <c r="C633" i="6"/>
  <c r="B633" i="6"/>
  <c r="A633" i="6"/>
  <c r="C632" i="6"/>
  <c r="B632" i="6"/>
  <c r="A632" i="6"/>
  <c r="C631" i="6"/>
  <c r="B631" i="6"/>
  <c r="A631" i="6"/>
  <c r="C630" i="6"/>
  <c r="B630" i="6"/>
  <c r="A630" i="6"/>
  <c r="C629" i="6"/>
  <c r="B629" i="6"/>
  <c r="A629" i="6"/>
  <c r="C628" i="6"/>
  <c r="B628" i="6"/>
  <c r="A628" i="6"/>
  <c r="C627" i="6"/>
  <c r="B627" i="6"/>
  <c r="A627" i="6"/>
  <c r="C626" i="6"/>
  <c r="B626" i="6"/>
  <c r="A626" i="6"/>
  <c r="C625" i="6"/>
  <c r="B625" i="6"/>
  <c r="A625" i="6"/>
  <c r="C624" i="6"/>
  <c r="B624" i="6"/>
  <c r="A624" i="6"/>
  <c r="C623" i="6"/>
  <c r="B623" i="6"/>
  <c r="A623" i="6"/>
  <c r="C622" i="6"/>
  <c r="B622" i="6"/>
  <c r="A622" i="6"/>
  <c r="C621" i="6"/>
  <c r="B621" i="6"/>
  <c r="A621" i="6"/>
  <c r="C620" i="6"/>
  <c r="B620" i="6"/>
  <c r="A620" i="6"/>
  <c r="C619" i="6"/>
  <c r="B619" i="6"/>
  <c r="A619" i="6"/>
  <c r="C618" i="6"/>
  <c r="B618" i="6"/>
  <c r="A618" i="6"/>
  <c r="C617" i="6"/>
  <c r="B617" i="6"/>
  <c r="A617" i="6"/>
  <c r="C616" i="6"/>
  <c r="B616" i="6"/>
  <c r="A616" i="6"/>
  <c r="C615" i="6"/>
  <c r="B615" i="6"/>
  <c r="A615" i="6"/>
  <c r="C614" i="6"/>
  <c r="B614" i="6"/>
  <c r="A614" i="6"/>
  <c r="C613" i="6"/>
  <c r="B613" i="6"/>
  <c r="A613" i="6"/>
  <c r="C612" i="6"/>
  <c r="B612" i="6"/>
  <c r="A612" i="6"/>
  <c r="C611" i="6"/>
  <c r="B611" i="6"/>
  <c r="A611" i="6"/>
  <c r="C610" i="6"/>
  <c r="B610" i="6"/>
  <c r="A610" i="6"/>
  <c r="C609" i="6"/>
  <c r="B609" i="6"/>
  <c r="A609" i="6"/>
  <c r="C608" i="6"/>
  <c r="B608" i="6"/>
  <c r="A608" i="6"/>
  <c r="C607" i="6"/>
  <c r="B607" i="6"/>
  <c r="A607" i="6"/>
  <c r="C606" i="6"/>
  <c r="B606" i="6"/>
  <c r="A606" i="6"/>
  <c r="C605" i="6"/>
  <c r="B605" i="6"/>
  <c r="A605" i="6"/>
  <c r="C604" i="6"/>
  <c r="B604" i="6"/>
  <c r="A604" i="6"/>
  <c r="C603" i="6"/>
  <c r="B603" i="6"/>
  <c r="A603" i="6"/>
  <c r="C602" i="6"/>
  <c r="B602" i="6"/>
  <c r="A602" i="6"/>
  <c r="C601" i="6"/>
  <c r="B601" i="6"/>
  <c r="A601" i="6"/>
  <c r="C600" i="6"/>
  <c r="B600" i="6"/>
  <c r="A600" i="6"/>
  <c r="C599" i="6"/>
  <c r="B599" i="6"/>
  <c r="A599" i="6"/>
  <c r="C598" i="6"/>
  <c r="B598" i="6"/>
  <c r="A598" i="6"/>
  <c r="C597" i="6"/>
  <c r="B597" i="6"/>
  <c r="A597" i="6"/>
  <c r="C596" i="6"/>
  <c r="B596" i="6"/>
  <c r="A596" i="6"/>
  <c r="C595" i="6"/>
  <c r="B595" i="6"/>
  <c r="A595" i="6"/>
  <c r="C594" i="6"/>
  <c r="B594" i="6"/>
  <c r="A594" i="6"/>
  <c r="C593" i="6"/>
  <c r="B593" i="6"/>
  <c r="A593" i="6"/>
  <c r="C592" i="6"/>
  <c r="B592" i="6"/>
  <c r="A592" i="6"/>
  <c r="C591" i="6"/>
  <c r="B591" i="6"/>
  <c r="A591" i="6"/>
  <c r="C590" i="6"/>
  <c r="B590" i="6"/>
  <c r="A590" i="6"/>
  <c r="C589" i="6"/>
  <c r="B589" i="6"/>
  <c r="A589" i="6"/>
  <c r="C588" i="6"/>
  <c r="B588" i="6"/>
  <c r="A588" i="6"/>
  <c r="C587" i="6"/>
  <c r="B587" i="6"/>
  <c r="A587" i="6"/>
  <c r="C586" i="6"/>
  <c r="B586" i="6"/>
  <c r="A586" i="6"/>
  <c r="C585" i="6"/>
  <c r="B585" i="6"/>
  <c r="A585" i="6"/>
  <c r="C584" i="6"/>
  <c r="B584" i="6"/>
  <c r="A584" i="6"/>
  <c r="C583" i="6"/>
  <c r="B583" i="6"/>
  <c r="A583" i="6"/>
  <c r="C582" i="6"/>
  <c r="B582" i="6"/>
  <c r="A582" i="6"/>
  <c r="C581" i="6"/>
  <c r="B581" i="6"/>
  <c r="A581" i="6"/>
  <c r="C580" i="6"/>
  <c r="B580" i="6"/>
  <c r="A580" i="6"/>
  <c r="C579" i="6"/>
  <c r="B579" i="6"/>
  <c r="A579" i="6"/>
  <c r="C578" i="6"/>
  <c r="B578" i="6"/>
  <c r="A578" i="6"/>
  <c r="C577" i="6"/>
  <c r="B577" i="6"/>
  <c r="A577" i="6"/>
  <c r="C576" i="6"/>
  <c r="B576" i="6"/>
  <c r="A576" i="6"/>
  <c r="C575" i="6"/>
  <c r="B575" i="6"/>
  <c r="A575" i="6"/>
  <c r="C574" i="6"/>
  <c r="B574" i="6"/>
  <c r="A574" i="6"/>
  <c r="C573" i="6"/>
  <c r="B573" i="6"/>
  <c r="A573" i="6"/>
  <c r="C572" i="6"/>
  <c r="B572" i="6"/>
  <c r="A572" i="6"/>
  <c r="C571" i="6"/>
  <c r="B571" i="6"/>
  <c r="A571" i="6"/>
  <c r="C570" i="6"/>
  <c r="B570" i="6"/>
  <c r="A570" i="6"/>
  <c r="C569" i="6"/>
  <c r="B569" i="6"/>
  <c r="A569" i="6"/>
  <c r="C568" i="6"/>
  <c r="B568" i="6"/>
  <c r="A568" i="6"/>
  <c r="C567" i="6"/>
  <c r="B567" i="6"/>
  <c r="A567" i="6"/>
  <c r="C566" i="6"/>
  <c r="B566" i="6"/>
  <c r="A566" i="6"/>
  <c r="C565" i="6"/>
  <c r="B565" i="6"/>
  <c r="A565" i="6"/>
  <c r="C564" i="6"/>
  <c r="B564" i="6"/>
  <c r="A564" i="6"/>
  <c r="C563" i="6"/>
  <c r="B563" i="6"/>
  <c r="A563" i="6"/>
  <c r="C562" i="6"/>
  <c r="B562" i="6"/>
  <c r="A562" i="6"/>
  <c r="C561" i="6"/>
  <c r="B561" i="6"/>
  <c r="A561" i="6"/>
  <c r="C560" i="6"/>
  <c r="B560" i="6"/>
  <c r="A560" i="6"/>
  <c r="C559" i="6"/>
  <c r="B559" i="6"/>
  <c r="A559" i="6"/>
  <c r="C558" i="6"/>
  <c r="B558" i="6"/>
  <c r="A558" i="6"/>
  <c r="C557" i="6"/>
  <c r="B557" i="6"/>
  <c r="A557" i="6"/>
  <c r="C556" i="6"/>
  <c r="B556" i="6"/>
  <c r="A556" i="6"/>
  <c r="C555" i="6"/>
  <c r="B555" i="6"/>
  <c r="A555" i="6"/>
  <c r="C554" i="6"/>
  <c r="B554" i="6"/>
  <c r="A554" i="6"/>
  <c r="C553" i="6"/>
  <c r="B553" i="6"/>
  <c r="A553" i="6"/>
  <c r="C552" i="6"/>
  <c r="B552" i="6"/>
  <c r="A552" i="6"/>
  <c r="C551" i="6"/>
  <c r="B551" i="6"/>
  <c r="A551" i="6"/>
  <c r="C550" i="6"/>
  <c r="B550" i="6"/>
  <c r="A550" i="6"/>
  <c r="C549" i="6"/>
  <c r="B549" i="6"/>
  <c r="A549" i="6"/>
  <c r="C548" i="6"/>
  <c r="B548" i="6"/>
  <c r="A548" i="6"/>
  <c r="C547" i="6"/>
  <c r="B547" i="6"/>
  <c r="A547" i="6"/>
  <c r="C546" i="6"/>
  <c r="B546" i="6"/>
  <c r="A546" i="6"/>
  <c r="C545" i="6"/>
  <c r="B545" i="6"/>
  <c r="A545" i="6"/>
  <c r="C544" i="6"/>
  <c r="B544" i="6"/>
  <c r="A544" i="6"/>
  <c r="C543" i="6"/>
  <c r="B543" i="6"/>
  <c r="A543" i="6"/>
  <c r="C542" i="6"/>
  <c r="B542" i="6"/>
  <c r="A542" i="6"/>
  <c r="C541" i="6"/>
  <c r="B541" i="6"/>
  <c r="A541" i="6"/>
  <c r="C540" i="6"/>
  <c r="B540" i="6"/>
  <c r="A540" i="6"/>
  <c r="C539" i="6"/>
  <c r="B539" i="6"/>
  <c r="A539" i="6"/>
  <c r="C538" i="6"/>
  <c r="B538" i="6"/>
  <c r="A538" i="6"/>
  <c r="C537" i="6"/>
  <c r="B537" i="6"/>
  <c r="A537" i="6"/>
  <c r="C536" i="6"/>
  <c r="B536" i="6"/>
  <c r="A536" i="6"/>
  <c r="C535" i="6"/>
  <c r="B535" i="6"/>
  <c r="A535" i="6"/>
  <c r="C534" i="6"/>
  <c r="B534" i="6"/>
  <c r="A534" i="6"/>
  <c r="C533" i="6"/>
  <c r="B533" i="6"/>
  <c r="A533" i="6"/>
  <c r="C532" i="6"/>
  <c r="B532" i="6"/>
  <c r="A532" i="6"/>
  <c r="C531" i="6"/>
  <c r="B531" i="6"/>
  <c r="A531" i="6"/>
  <c r="C530" i="6"/>
  <c r="B530" i="6"/>
  <c r="A530" i="6"/>
  <c r="C529" i="6"/>
  <c r="B529" i="6"/>
  <c r="A529" i="6"/>
  <c r="C528" i="6"/>
  <c r="B528" i="6"/>
  <c r="A528" i="6"/>
  <c r="C527" i="6"/>
  <c r="B527" i="6"/>
  <c r="A527" i="6"/>
  <c r="C526" i="6"/>
  <c r="B526" i="6"/>
  <c r="A526" i="6"/>
  <c r="C525" i="6"/>
  <c r="B525" i="6"/>
  <c r="A525" i="6"/>
  <c r="C524" i="6"/>
  <c r="B524" i="6"/>
  <c r="A524" i="6"/>
  <c r="C523" i="6"/>
  <c r="B523" i="6"/>
  <c r="A523" i="6"/>
  <c r="C522" i="6"/>
  <c r="B522" i="6"/>
  <c r="A522" i="6"/>
  <c r="C521" i="6"/>
  <c r="B521" i="6"/>
  <c r="A521" i="6"/>
  <c r="C520" i="6"/>
  <c r="B520" i="6"/>
  <c r="A520" i="6"/>
  <c r="C519" i="6"/>
  <c r="B519" i="6"/>
  <c r="A519" i="6"/>
  <c r="C518" i="6"/>
  <c r="B518" i="6"/>
  <c r="A518" i="6"/>
  <c r="C517" i="6"/>
  <c r="B517" i="6"/>
  <c r="A517" i="6"/>
  <c r="C516" i="6"/>
  <c r="B516" i="6"/>
  <c r="A516" i="6"/>
  <c r="C515" i="6"/>
  <c r="B515" i="6"/>
  <c r="A515" i="6"/>
  <c r="C514" i="6"/>
  <c r="B514" i="6"/>
  <c r="A514" i="6"/>
  <c r="C513" i="6"/>
  <c r="B513" i="6"/>
  <c r="A513" i="6"/>
  <c r="C512" i="6"/>
  <c r="B512" i="6"/>
  <c r="A512" i="6"/>
  <c r="C511" i="6"/>
  <c r="B511" i="6"/>
  <c r="A511" i="6"/>
  <c r="C510" i="6"/>
  <c r="B510" i="6"/>
  <c r="A510" i="6"/>
  <c r="C509" i="6"/>
  <c r="B509" i="6"/>
  <c r="A509" i="6"/>
  <c r="C508" i="6"/>
  <c r="B508" i="6"/>
  <c r="A508" i="6"/>
  <c r="C507" i="6"/>
  <c r="B507" i="6"/>
  <c r="A507" i="6"/>
  <c r="C506" i="6"/>
  <c r="B506" i="6"/>
  <c r="A506" i="6"/>
  <c r="C505" i="6"/>
  <c r="B505" i="6"/>
  <c r="A505" i="6"/>
  <c r="C504" i="6"/>
  <c r="B504" i="6"/>
  <c r="A504" i="6"/>
  <c r="C503" i="6"/>
  <c r="B503" i="6"/>
  <c r="A503" i="6"/>
  <c r="C502" i="6"/>
  <c r="B502" i="6"/>
  <c r="A502" i="6"/>
  <c r="C501" i="6"/>
  <c r="B501" i="6"/>
  <c r="A501" i="6"/>
  <c r="C500" i="6"/>
  <c r="B500" i="6"/>
  <c r="A500" i="6"/>
  <c r="C499" i="6"/>
  <c r="B499" i="6"/>
  <c r="A499" i="6"/>
  <c r="C498" i="6"/>
  <c r="B498" i="6"/>
  <c r="A498" i="6"/>
  <c r="C497" i="6"/>
  <c r="B497" i="6"/>
  <c r="A497" i="6"/>
  <c r="C496" i="6"/>
  <c r="B496" i="6"/>
  <c r="A496" i="6"/>
  <c r="C495" i="6"/>
  <c r="B495" i="6"/>
  <c r="A495" i="6"/>
  <c r="C494" i="6"/>
  <c r="B494" i="6"/>
  <c r="A494" i="6"/>
  <c r="C493" i="6"/>
  <c r="B493" i="6"/>
  <c r="A493" i="6"/>
  <c r="C492" i="6"/>
  <c r="B492" i="6"/>
  <c r="A492" i="6"/>
  <c r="C491" i="6"/>
  <c r="B491" i="6"/>
  <c r="A491" i="6"/>
  <c r="C490" i="6"/>
  <c r="B490" i="6"/>
  <c r="A490" i="6"/>
  <c r="C489" i="6"/>
  <c r="B489" i="6"/>
  <c r="A489" i="6"/>
  <c r="C488" i="6"/>
  <c r="B488" i="6"/>
  <c r="A488" i="6"/>
  <c r="C487" i="6"/>
  <c r="B487" i="6"/>
  <c r="A487" i="6"/>
  <c r="C486" i="6"/>
  <c r="B486" i="6"/>
  <c r="A486" i="6"/>
  <c r="C485" i="6"/>
  <c r="B485" i="6"/>
  <c r="A485" i="6"/>
  <c r="C484" i="6"/>
  <c r="B484" i="6"/>
  <c r="A484" i="6"/>
  <c r="C483" i="6"/>
  <c r="B483" i="6"/>
  <c r="A483" i="6"/>
  <c r="C482" i="6"/>
  <c r="B482" i="6"/>
  <c r="A482" i="6"/>
  <c r="C481" i="6"/>
  <c r="B481" i="6"/>
  <c r="A481" i="6"/>
  <c r="C480" i="6"/>
  <c r="B480" i="6"/>
  <c r="A480" i="6"/>
  <c r="C479" i="6"/>
  <c r="B479" i="6"/>
  <c r="A479" i="6"/>
  <c r="C478" i="6"/>
  <c r="B478" i="6"/>
  <c r="A478" i="6"/>
  <c r="C477" i="6"/>
  <c r="B477" i="6"/>
  <c r="A477" i="6"/>
  <c r="C476" i="6"/>
  <c r="B476" i="6"/>
  <c r="A476" i="6"/>
  <c r="C475" i="6"/>
  <c r="B475" i="6"/>
  <c r="A475" i="6"/>
  <c r="C474" i="6"/>
  <c r="B474" i="6"/>
  <c r="A474" i="6"/>
  <c r="C473" i="6"/>
  <c r="B473" i="6"/>
  <c r="A473" i="6"/>
  <c r="C472" i="6"/>
  <c r="B472" i="6"/>
  <c r="A472" i="6"/>
  <c r="C471" i="6"/>
  <c r="B471" i="6"/>
  <c r="A471" i="6"/>
  <c r="C470" i="6"/>
  <c r="B470" i="6"/>
  <c r="A470" i="6"/>
  <c r="C469" i="6"/>
  <c r="B469" i="6"/>
  <c r="A469" i="6"/>
  <c r="C468" i="6"/>
  <c r="B468" i="6"/>
  <c r="A468" i="6"/>
  <c r="C467" i="6"/>
  <c r="B467" i="6"/>
  <c r="A467" i="6"/>
  <c r="C466" i="6"/>
  <c r="B466" i="6"/>
  <c r="A466" i="6"/>
  <c r="C465" i="6"/>
  <c r="B465" i="6"/>
  <c r="A465" i="6"/>
  <c r="C464" i="6"/>
  <c r="B464" i="6"/>
  <c r="A464" i="6"/>
  <c r="C463" i="6"/>
  <c r="B463" i="6"/>
  <c r="A463" i="6"/>
  <c r="C462" i="6"/>
  <c r="B462" i="6"/>
  <c r="A462" i="6"/>
  <c r="C461" i="6"/>
  <c r="B461" i="6"/>
  <c r="A461" i="6"/>
  <c r="C460" i="6"/>
  <c r="B460" i="6"/>
  <c r="A460" i="6"/>
  <c r="C459" i="6"/>
  <c r="B459" i="6"/>
  <c r="A459" i="6"/>
  <c r="C458" i="6"/>
  <c r="B458" i="6"/>
  <c r="A458" i="6"/>
  <c r="C457" i="6"/>
  <c r="B457" i="6"/>
  <c r="A457" i="6"/>
  <c r="C456" i="6"/>
  <c r="B456" i="6"/>
  <c r="A456" i="6"/>
  <c r="C455" i="6"/>
  <c r="B455" i="6"/>
  <c r="A455" i="6"/>
  <c r="C454" i="6"/>
  <c r="B454" i="6"/>
  <c r="A454" i="6"/>
  <c r="C453" i="6"/>
  <c r="B453" i="6"/>
  <c r="A453" i="6"/>
  <c r="C452" i="6"/>
  <c r="B452" i="6"/>
  <c r="A452" i="6"/>
  <c r="C451" i="6"/>
  <c r="B451" i="6"/>
  <c r="A451" i="6"/>
  <c r="C450" i="6"/>
  <c r="B450" i="6"/>
  <c r="A450" i="6"/>
  <c r="C449" i="6"/>
  <c r="B449" i="6"/>
  <c r="A449" i="6"/>
  <c r="C448" i="6"/>
  <c r="B448" i="6"/>
  <c r="A448" i="6"/>
  <c r="C447" i="6"/>
  <c r="B447" i="6"/>
  <c r="A447" i="6"/>
  <c r="C446" i="6"/>
  <c r="B446" i="6"/>
  <c r="A446" i="6"/>
  <c r="C445" i="6"/>
  <c r="B445" i="6"/>
  <c r="A445" i="6"/>
  <c r="C444" i="6"/>
  <c r="B444" i="6"/>
  <c r="A444" i="6"/>
  <c r="C443" i="6"/>
  <c r="B443" i="6"/>
  <c r="A443" i="6"/>
  <c r="C442" i="6"/>
  <c r="B442" i="6"/>
  <c r="A442" i="6"/>
  <c r="C441" i="6"/>
  <c r="B441" i="6"/>
  <c r="A441" i="6"/>
  <c r="C440" i="6"/>
  <c r="B440" i="6"/>
  <c r="A440" i="6"/>
  <c r="C439" i="6"/>
  <c r="B439" i="6"/>
  <c r="A439" i="6"/>
  <c r="C438" i="6"/>
  <c r="B438" i="6"/>
  <c r="A438" i="6"/>
  <c r="C437" i="6"/>
  <c r="B437" i="6"/>
  <c r="A437" i="6"/>
  <c r="C436" i="6"/>
  <c r="B436" i="6"/>
  <c r="A436" i="6"/>
  <c r="C435" i="6"/>
  <c r="B435" i="6"/>
  <c r="A435" i="6"/>
  <c r="C434" i="6"/>
  <c r="B434" i="6"/>
  <c r="A434" i="6"/>
  <c r="C433" i="6"/>
  <c r="B433" i="6"/>
  <c r="A433" i="6"/>
  <c r="C432" i="6"/>
  <c r="B432" i="6"/>
  <c r="A432" i="6"/>
  <c r="C431" i="6"/>
  <c r="B431" i="6"/>
  <c r="A431" i="6"/>
  <c r="C430" i="6"/>
  <c r="B430" i="6"/>
  <c r="A430" i="6"/>
  <c r="C429" i="6"/>
  <c r="B429" i="6"/>
  <c r="A429" i="6"/>
  <c r="C428" i="6"/>
  <c r="B428" i="6"/>
  <c r="A428" i="6"/>
  <c r="C427" i="6"/>
  <c r="B427" i="6"/>
  <c r="A427" i="6"/>
  <c r="C426" i="6"/>
  <c r="B426" i="6"/>
  <c r="A426" i="6"/>
  <c r="C425" i="6"/>
  <c r="B425" i="6"/>
  <c r="A425" i="6"/>
  <c r="C424" i="6"/>
  <c r="B424" i="6"/>
  <c r="A424" i="6"/>
  <c r="C423" i="6"/>
  <c r="B423" i="6"/>
  <c r="A423" i="6"/>
  <c r="C422" i="6"/>
  <c r="B422" i="6"/>
  <c r="A422" i="6"/>
  <c r="C421" i="6"/>
  <c r="B421" i="6"/>
  <c r="A421" i="6"/>
  <c r="C420" i="6"/>
  <c r="B420" i="6"/>
  <c r="A420" i="6"/>
  <c r="C419" i="6"/>
  <c r="B419" i="6"/>
  <c r="A419" i="6"/>
  <c r="C418" i="6"/>
  <c r="B418" i="6"/>
  <c r="A418" i="6"/>
  <c r="C417" i="6"/>
  <c r="B417" i="6"/>
  <c r="A417" i="6"/>
  <c r="C416" i="6"/>
  <c r="B416" i="6"/>
  <c r="A416" i="6"/>
  <c r="C415" i="6"/>
  <c r="B415" i="6"/>
  <c r="A415" i="6"/>
  <c r="C414" i="6"/>
  <c r="B414" i="6"/>
  <c r="A414" i="6"/>
  <c r="C413" i="6"/>
  <c r="B413" i="6"/>
  <c r="A413" i="6"/>
  <c r="C412" i="6"/>
  <c r="B412" i="6"/>
  <c r="A412" i="6"/>
  <c r="C411" i="6"/>
  <c r="B411" i="6"/>
  <c r="A411" i="6"/>
  <c r="C410" i="6"/>
  <c r="B410" i="6"/>
  <c r="A410" i="6"/>
  <c r="C409" i="6"/>
  <c r="B409" i="6"/>
  <c r="A409" i="6"/>
  <c r="C408" i="6"/>
  <c r="B408" i="6"/>
  <c r="A408" i="6"/>
  <c r="C407" i="6"/>
  <c r="B407" i="6"/>
  <c r="A407" i="6"/>
  <c r="C406" i="6"/>
  <c r="B406" i="6"/>
  <c r="A406" i="6"/>
  <c r="C405" i="6"/>
  <c r="B405" i="6"/>
  <c r="A405" i="6"/>
  <c r="C404" i="6"/>
  <c r="B404" i="6"/>
  <c r="A404" i="6"/>
  <c r="C403" i="6"/>
  <c r="B403" i="6"/>
  <c r="A403" i="6"/>
  <c r="C402" i="6"/>
  <c r="B402" i="6"/>
  <c r="A402" i="6"/>
  <c r="C401" i="6"/>
  <c r="B401" i="6"/>
  <c r="A401" i="6"/>
  <c r="C400" i="6"/>
  <c r="B400" i="6"/>
  <c r="A400" i="6"/>
  <c r="C399" i="6"/>
  <c r="B399" i="6"/>
  <c r="A399" i="6"/>
  <c r="C398" i="6"/>
  <c r="B398" i="6"/>
  <c r="A398" i="6"/>
  <c r="C397" i="6"/>
  <c r="B397" i="6"/>
  <c r="A397" i="6"/>
  <c r="C396" i="6"/>
  <c r="B396" i="6"/>
  <c r="A396" i="6"/>
  <c r="C395" i="6"/>
  <c r="B395" i="6"/>
  <c r="A395" i="6"/>
  <c r="C394" i="6"/>
  <c r="B394" i="6"/>
  <c r="A394" i="6"/>
  <c r="C393" i="6"/>
  <c r="B393" i="6"/>
  <c r="A393" i="6"/>
  <c r="C392" i="6"/>
  <c r="B392" i="6"/>
  <c r="A392" i="6"/>
  <c r="C391" i="6"/>
  <c r="B391" i="6"/>
  <c r="A391" i="6"/>
  <c r="C390" i="6"/>
  <c r="B390" i="6"/>
  <c r="A390" i="6"/>
  <c r="C389" i="6"/>
  <c r="B389" i="6"/>
  <c r="A389" i="6"/>
  <c r="C388" i="6"/>
  <c r="B388" i="6"/>
  <c r="A388" i="6"/>
  <c r="C387" i="6"/>
  <c r="B387" i="6"/>
  <c r="A387" i="6"/>
  <c r="C386" i="6"/>
  <c r="B386" i="6"/>
  <c r="A386" i="6"/>
  <c r="C385" i="6"/>
  <c r="B385" i="6"/>
  <c r="A385" i="6"/>
  <c r="C384" i="6"/>
  <c r="B384" i="6"/>
  <c r="A384" i="6"/>
  <c r="C383" i="6"/>
  <c r="B383" i="6"/>
  <c r="A383" i="6"/>
  <c r="C382" i="6"/>
  <c r="B382" i="6"/>
  <c r="A382" i="6"/>
  <c r="C381" i="6"/>
  <c r="B381" i="6"/>
  <c r="A381" i="6"/>
  <c r="C380" i="6"/>
  <c r="B380" i="6"/>
  <c r="A380" i="6"/>
  <c r="C379" i="6"/>
  <c r="B379" i="6"/>
  <c r="A379" i="6"/>
  <c r="C378" i="6"/>
  <c r="B378" i="6"/>
  <c r="A378" i="6"/>
  <c r="C377" i="6"/>
  <c r="B377" i="6"/>
  <c r="A377" i="6"/>
  <c r="C376" i="6"/>
  <c r="B376" i="6"/>
  <c r="A376" i="6"/>
  <c r="C375" i="6"/>
  <c r="B375" i="6"/>
  <c r="A375" i="6"/>
  <c r="C374" i="6"/>
  <c r="B374" i="6"/>
  <c r="A374" i="6"/>
  <c r="C373" i="6"/>
  <c r="B373" i="6"/>
  <c r="A373" i="6"/>
  <c r="C372" i="6"/>
  <c r="B372" i="6"/>
  <c r="A372" i="6"/>
  <c r="C371" i="6"/>
  <c r="B371" i="6"/>
  <c r="A371" i="6"/>
  <c r="C370" i="6"/>
  <c r="B370" i="6"/>
  <c r="A370" i="6"/>
  <c r="C369" i="6"/>
  <c r="B369" i="6"/>
  <c r="A369" i="6"/>
  <c r="C368" i="6"/>
  <c r="B368" i="6"/>
  <c r="A368" i="6"/>
  <c r="C367" i="6"/>
  <c r="B367" i="6"/>
  <c r="A367" i="6"/>
  <c r="C366" i="6"/>
  <c r="B366" i="6"/>
  <c r="A366" i="6"/>
  <c r="C365" i="6"/>
  <c r="B365" i="6"/>
  <c r="A365" i="6"/>
  <c r="C364" i="6"/>
  <c r="B364" i="6"/>
  <c r="A364" i="6"/>
  <c r="C363" i="6"/>
  <c r="B363" i="6"/>
  <c r="A363" i="6"/>
  <c r="C362" i="6"/>
  <c r="B362" i="6"/>
  <c r="A362" i="6"/>
  <c r="C361" i="6"/>
  <c r="B361" i="6"/>
  <c r="A361" i="6"/>
  <c r="C360" i="6"/>
  <c r="B360" i="6"/>
  <c r="A360" i="6"/>
  <c r="C359" i="6"/>
  <c r="B359" i="6"/>
  <c r="A359" i="6"/>
  <c r="C358" i="6"/>
  <c r="B358" i="6"/>
  <c r="A358" i="6"/>
  <c r="C357" i="6"/>
  <c r="B357" i="6"/>
  <c r="A357" i="6"/>
  <c r="C356" i="6"/>
  <c r="B356" i="6"/>
  <c r="A356" i="6"/>
  <c r="C355" i="6"/>
  <c r="B355" i="6"/>
  <c r="A355" i="6"/>
  <c r="C354" i="6"/>
  <c r="B354" i="6"/>
  <c r="A354" i="6"/>
  <c r="C353" i="6"/>
  <c r="B353" i="6"/>
  <c r="A353" i="6"/>
  <c r="C352" i="6"/>
  <c r="B352" i="6"/>
  <c r="A352" i="6"/>
  <c r="C351" i="6"/>
  <c r="B351" i="6"/>
  <c r="A351" i="6"/>
  <c r="C350" i="6"/>
  <c r="B350" i="6"/>
  <c r="A350" i="6"/>
  <c r="C349" i="6"/>
  <c r="B349" i="6"/>
  <c r="A349" i="6"/>
  <c r="C348" i="6"/>
  <c r="B348" i="6"/>
  <c r="A348" i="6"/>
  <c r="C347" i="6"/>
  <c r="B347" i="6"/>
  <c r="A347" i="6"/>
  <c r="C346" i="6"/>
  <c r="B346" i="6"/>
  <c r="A346" i="6"/>
  <c r="C345" i="6"/>
  <c r="B345" i="6"/>
  <c r="A345" i="6"/>
  <c r="C344" i="6"/>
  <c r="B344" i="6"/>
  <c r="A344" i="6"/>
  <c r="C343" i="6"/>
  <c r="B343" i="6"/>
  <c r="A343" i="6"/>
  <c r="C342" i="6"/>
  <c r="B342" i="6"/>
  <c r="A342" i="6"/>
  <c r="C341" i="6"/>
  <c r="B341" i="6"/>
  <c r="A341" i="6"/>
  <c r="C340" i="6"/>
  <c r="B340" i="6"/>
  <c r="A340" i="6"/>
  <c r="C339" i="6"/>
  <c r="B339" i="6"/>
  <c r="A339" i="6"/>
  <c r="C338" i="6"/>
  <c r="B338" i="6"/>
  <c r="A338" i="6"/>
  <c r="C337" i="6"/>
  <c r="B337" i="6"/>
  <c r="A337" i="6"/>
  <c r="C336" i="6"/>
  <c r="B336" i="6"/>
  <c r="A336" i="6"/>
  <c r="C335" i="6"/>
  <c r="B335" i="6"/>
  <c r="A335" i="6"/>
  <c r="C334" i="6"/>
  <c r="B334" i="6"/>
  <c r="A334" i="6"/>
  <c r="C333" i="6"/>
  <c r="B333" i="6"/>
  <c r="A333" i="6"/>
  <c r="C332" i="6"/>
  <c r="B332" i="6"/>
  <c r="A332" i="6"/>
  <c r="C331" i="6"/>
  <c r="B331" i="6"/>
  <c r="A331" i="6"/>
  <c r="C330" i="6"/>
  <c r="B330" i="6"/>
  <c r="A330" i="6"/>
  <c r="C329" i="6"/>
  <c r="B329" i="6"/>
  <c r="A329" i="6"/>
  <c r="C328" i="6"/>
  <c r="B328" i="6"/>
  <c r="A328" i="6"/>
  <c r="C327" i="6"/>
  <c r="B327" i="6"/>
  <c r="A327" i="6"/>
  <c r="C326" i="6"/>
  <c r="B326" i="6"/>
  <c r="A326" i="6"/>
  <c r="C325" i="6"/>
  <c r="B325" i="6"/>
  <c r="A325" i="6"/>
  <c r="C324" i="6"/>
  <c r="B324" i="6"/>
  <c r="A324" i="6"/>
  <c r="C323" i="6"/>
  <c r="B323" i="6"/>
  <c r="A323" i="6"/>
  <c r="C322" i="6"/>
  <c r="B322" i="6"/>
  <c r="A322" i="6"/>
  <c r="C321" i="6"/>
  <c r="B321" i="6"/>
  <c r="A321" i="6"/>
  <c r="C320" i="6"/>
  <c r="B320" i="6"/>
  <c r="A320" i="6"/>
  <c r="C319" i="6"/>
  <c r="B319" i="6"/>
  <c r="A319" i="6"/>
  <c r="C318" i="6"/>
  <c r="B318" i="6"/>
  <c r="A318" i="6"/>
  <c r="C317" i="6"/>
  <c r="B317" i="6"/>
  <c r="A317" i="6"/>
  <c r="C316" i="6"/>
  <c r="B316" i="6"/>
  <c r="A316" i="6"/>
  <c r="C315" i="6"/>
  <c r="B315" i="6"/>
  <c r="A315" i="6"/>
  <c r="C314" i="6"/>
  <c r="B314" i="6"/>
  <c r="A314" i="6"/>
  <c r="C313" i="6"/>
  <c r="B313" i="6"/>
  <c r="A313" i="6"/>
  <c r="C312" i="6"/>
  <c r="B312" i="6"/>
  <c r="A312" i="6"/>
  <c r="C311" i="6"/>
  <c r="B311" i="6"/>
  <c r="A311" i="6"/>
  <c r="C310" i="6"/>
  <c r="B310" i="6"/>
  <c r="A310" i="6"/>
  <c r="C309" i="6"/>
  <c r="B309" i="6"/>
  <c r="A309" i="6"/>
  <c r="C308" i="6"/>
  <c r="B308" i="6"/>
  <c r="A308" i="6"/>
  <c r="C307" i="6"/>
  <c r="B307" i="6"/>
  <c r="A307" i="6"/>
  <c r="C306" i="6"/>
  <c r="B306" i="6"/>
  <c r="A306" i="6"/>
  <c r="C305" i="6"/>
  <c r="B305" i="6"/>
  <c r="A305" i="6"/>
  <c r="C304" i="6"/>
  <c r="B304" i="6"/>
  <c r="A304" i="6"/>
  <c r="C303" i="6"/>
  <c r="B303" i="6"/>
  <c r="A303" i="6"/>
  <c r="C302" i="6"/>
  <c r="B302" i="6"/>
  <c r="A302" i="6"/>
  <c r="C301" i="6"/>
  <c r="B301" i="6"/>
  <c r="A301" i="6"/>
  <c r="C300" i="6"/>
  <c r="B300" i="6"/>
  <c r="A300" i="6"/>
  <c r="C299" i="6"/>
  <c r="B299" i="6"/>
  <c r="A299" i="6"/>
  <c r="C298" i="6"/>
  <c r="B298" i="6"/>
  <c r="A298" i="6"/>
  <c r="C297" i="6"/>
  <c r="B297" i="6"/>
  <c r="A297" i="6"/>
  <c r="C296" i="6"/>
  <c r="B296" i="6"/>
  <c r="A296" i="6"/>
  <c r="C295" i="6"/>
  <c r="B295" i="6"/>
  <c r="A295" i="6"/>
  <c r="C294" i="6"/>
  <c r="B294" i="6"/>
  <c r="A294" i="6"/>
  <c r="C293" i="6"/>
  <c r="B293" i="6"/>
  <c r="A293" i="6"/>
  <c r="C292" i="6"/>
  <c r="B292" i="6"/>
  <c r="A292" i="6"/>
  <c r="C291" i="6"/>
  <c r="B291" i="6"/>
  <c r="A291" i="6"/>
  <c r="C290" i="6"/>
  <c r="B290" i="6"/>
  <c r="A290" i="6"/>
  <c r="C289" i="6"/>
  <c r="B289" i="6"/>
  <c r="A289" i="6"/>
  <c r="C288" i="6"/>
  <c r="B288" i="6"/>
  <c r="A288" i="6"/>
  <c r="C287" i="6"/>
  <c r="B287" i="6"/>
  <c r="A287" i="6"/>
  <c r="C286" i="6"/>
  <c r="B286" i="6"/>
  <c r="A286" i="6"/>
  <c r="C285" i="6"/>
  <c r="B285" i="6"/>
  <c r="A285" i="6"/>
  <c r="C284" i="6"/>
  <c r="B284" i="6"/>
  <c r="A284" i="6"/>
  <c r="C283" i="6"/>
  <c r="B283" i="6"/>
  <c r="A283" i="6"/>
  <c r="C282" i="6"/>
  <c r="B282" i="6"/>
  <c r="A282" i="6"/>
  <c r="C281" i="6"/>
  <c r="B281" i="6"/>
  <c r="A281" i="6"/>
  <c r="C280" i="6"/>
  <c r="B280" i="6"/>
  <c r="A280" i="6"/>
  <c r="C279" i="6"/>
  <c r="B279" i="6"/>
  <c r="A279" i="6"/>
  <c r="C278" i="6"/>
  <c r="B278" i="6"/>
  <c r="A278" i="6"/>
  <c r="C277" i="6"/>
  <c r="B277" i="6"/>
  <c r="A277" i="6"/>
  <c r="C276" i="6"/>
  <c r="B276" i="6"/>
  <c r="A276" i="6"/>
  <c r="C275" i="6"/>
  <c r="B275" i="6"/>
  <c r="A275" i="6"/>
  <c r="C274" i="6"/>
  <c r="B274" i="6"/>
  <c r="A274" i="6"/>
  <c r="C273" i="6"/>
  <c r="B273" i="6"/>
  <c r="A273" i="6"/>
  <c r="C272" i="6"/>
  <c r="B272" i="6"/>
  <c r="A272" i="6"/>
  <c r="C271" i="6"/>
  <c r="B271" i="6"/>
  <c r="A271" i="6"/>
  <c r="C270" i="6"/>
  <c r="B270" i="6"/>
  <c r="A270" i="6"/>
  <c r="C269" i="6"/>
  <c r="B269" i="6"/>
  <c r="A269" i="6"/>
  <c r="C268" i="6"/>
  <c r="B268" i="6"/>
  <c r="A268" i="6"/>
  <c r="C267" i="6"/>
  <c r="B267" i="6"/>
  <c r="A267" i="6"/>
  <c r="C266" i="6"/>
  <c r="B266" i="6"/>
  <c r="A266" i="6"/>
  <c r="C265" i="6"/>
  <c r="B265" i="6"/>
  <c r="A265" i="6"/>
  <c r="C264" i="6"/>
  <c r="B264" i="6"/>
  <c r="A264" i="6"/>
  <c r="C263" i="6"/>
  <c r="B263" i="6"/>
  <c r="A263" i="6"/>
  <c r="C262" i="6"/>
  <c r="B262" i="6"/>
  <c r="A262" i="6"/>
  <c r="C261" i="6"/>
  <c r="B261" i="6"/>
  <c r="A261" i="6"/>
  <c r="C260" i="6"/>
  <c r="B260" i="6"/>
  <c r="A260" i="6"/>
  <c r="C259" i="6"/>
  <c r="B259" i="6"/>
  <c r="A259" i="6"/>
  <c r="C258" i="6"/>
  <c r="B258" i="6"/>
  <c r="A258" i="6"/>
  <c r="C257" i="6"/>
  <c r="B257" i="6"/>
  <c r="A257" i="6"/>
  <c r="C256" i="6"/>
  <c r="B256" i="6"/>
  <c r="A256" i="6"/>
  <c r="C255" i="6"/>
  <c r="B255" i="6"/>
  <c r="A255" i="6"/>
  <c r="C254" i="6"/>
  <c r="B254" i="6"/>
  <c r="A254" i="6"/>
  <c r="C253" i="6"/>
  <c r="B253" i="6"/>
  <c r="A253" i="6"/>
  <c r="C252" i="6"/>
  <c r="B252" i="6"/>
  <c r="A252" i="6"/>
  <c r="C251" i="6"/>
  <c r="B251" i="6"/>
  <c r="A251" i="6"/>
  <c r="C250" i="6"/>
  <c r="B250" i="6"/>
  <c r="A250" i="6"/>
  <c r="C249" i="6"/>
  <c r="B249" i="6"/>
  <c r="A249" i="6"/>
  <c r="C248" i="6"/>
  <c r="B248" i="6"/>
  <c r="A248" i="6"/>
  <c r="C247" i="6"/>
  <c r="B247" i="6"/>
  <c r="A247" i="6"/>
  <c r="C246" i="6"/>
  <c r="B246" i="6"/>
  <c r="A246" i="6"/>
  <c r="C245" i="6"/>
  <c r="B245" i="6"/>
  <c r="A245" i="6"/>
  <c r="C244" i="6"/>
  <c r="B244" i="6"/>
  <c r="A244" i="6"/>
  <c r="C243" i="6"/>
  <c r="B243" i="6"/>
  <c r="A243" i="6"/>
  <c r="C242" i="6"/>
  <c r="B242" i="6"/>
  <c r="A242" i="6"/>
  <c r="C241" i="6"/>
  <c r="B241" i="6"/>
  <c r="A241" i="6"/>
  <c r="C240" i="6"/>
  <c r="B240" i="6"/>
  <c r="A240" i="6"/>
  <c r="C239" i="6"/>
  <c r="B239" i="6"/>
  <c r="A239" i="6"/>
  <c r="C238" i="6"/>
  <c r="B238" i="6"/>
  <c r="A238" i="6"/>
  <c r="C237" i="6"/>
  <c r="B237" i="6"/>
  <c r="A237" i="6"/>
  <c r="C236" i="6"/>
  <c r="B236" i="6"/>
  <c r="A236" i="6"/>
  <c r="C235" i="6"/>
  <c r="B235" i="6"/>
  <c r="A235" i="6"/>
  <c r="C234" i="6"/>
  <c r="B234" i="6"/>
  <c r="A234" i="6"/>
  <c r="C233" i="6"/>
  <c r="B233" i="6"/>
  <c r="A233" i="6"/>
  <c r="C232" i="6"/>
  <c r="B232" i="6"/>
  <c r="A232" i="6"/>
  <c r="C231" i="6"/>
  <c r="B231" i="6"/>
  <c r="A231" i="6"/>
  <c r="C230" i="6"/>
  <c r="B230" i="6"/>
  <c r="A230" i="6"/>
  <c r="C229" i="6"/>
  <c r="B229" i="6"/>
  <c r="A229" i="6"/>
  <c r="C228" i="6"/>
  <c r="B228" i="6"/>
  <c r="A228" i="6"/>
  <c r="C227" i="6"/>
  <c r="B227" i="6"/>
  <c r="A227" i="6"/>
  <c r="C226" i="6"/>
  <c r="B226" i="6"/>
  <c r="A226" i="6"/>
  <c r="C225" i="6"/>
  <c r="B225" i="6"/>
  <c r="A225" i="6"/>
  <c r="C224" i="6"/>
  <c r="B224" i="6"/>
  <c r="A224" i="6"/>
  <c r="C223" i="6"/>
  <c r="B223" i="6"/>
  <c r="A223" i="6"/>
  <c r="C222" i="6"/>
  <c r="B222" i="6"/>
  <c r="A222" i="6"/>
  <c r="C221" i="6"/>
  <c r="B221" i="6"/>
  <c r="A221" i="6"/>
  <c r="C220" i="6"/>
  <c r="B220" i="6"/>
  <c r="A220" i="6"/>
  <c r="C219" i="6"/>
  <c r="B219" i="6"/>
  <c r="A219" i="6"/>
  <c r="C218" i="6"/>
  <c r="B218" i="6"/>
  <c r="A218" i="6"/>
  <c r="C217" i="6"/>
  <c r="B217" i="6"/>
  <c r="A217" i="6"/>
  <c r="C216" i="6"/>
  <c r="B216" i="6"/>
  <c r="A216" i="6"/>
  <c r="C215" i="6"/>
  <c r="B215" i="6"/>
  <c r="A215" i="6"/>
  <c r="C214" i="6"/>
  <c r="B214" i="6"/>
  <c r="A214" i="6"/>
  <c r="C213" i="6"/>
  <c r="B213" i="6"/>
  <c r="A213" i="6"/>
  <c r="C212" i="6"/>
  <c r="B212" i="6"/>
  <c r="A212" i="6"/>
  <c r="C211" i="6"/>
  <c r="B211" i="6"/>
  <c r="A211" i="6"/>
  <c r="C210" i="6"/>
  <c r="B210" i="6"/>
  <c r="A210" i="6"/>
  <c r="C209" i="6"/>
  <c r="B209" i="6"/>
  <c r="A209" i="6"/>
  <c r="C208" i="6"/>
  <c r="B208" i="6"/>
  <c r="A208" i="6"/>
  <c r="C207" i="6"/>
  <c r="B207" i="6"/>
  <c r="A207" i="6"/>
  <c r="C206" i="6"/>
  <c r="B206" i="6"/>
  <c r="A206" i="6"/>
  <c r="C205" i="6"/>
  <c r="B205" i="6"/>
  <c r="A205" i="6"/>
  <c r="C204" i="6"/>
  <c r="B204" i="6"/>
  <c r="A204" i="6"/>
  <c r="C203" i="6"/>
  <c r="B203" i="6"/>
  <c r="A203" i="6"/>
  <c r="C202" i="6"/>
  <c r="B202" i="6"/>
  <c r="A202" i="6"/>
  <c r="C201" i="6"/>
  <c r="B201" i="6"/>
  <c r="A201" i="6"/>
  <c r="C200" i="6"/>
  <c r="B200" i="6"/>
  <c r="A200" i="6"/>
  <c r="C199" i="6"/>
  <c r="B199" i="6"/>
  <c r="A199" i="6"/>
  <c r="C198" i="6"/>
  <c r="B198" i="6"/>
  <c r="A198" i="6"/>
  <c r="C197" i="6"/>
  <c r="B197" i="6"/>
  <c r="A197" i="6"/>
  <c r="C196" i="6"/>
  <c r="B196" i="6"/>
  <c r="A196" i="6"/>
  <c r="C195" i="6"/>
  <c r="B195" i="6"/>
  <c r="A195" i="6"/>
  <c r="C194" i="6"/>
  <c r="B194" i="6"/>
  <c r="A194" i="6"/>
  <c r="C193" i="6"/>
  <c r="B193" i="6"/>
  <c r="A193" i="6"/>
  <c r="C192" i="6"/>
  <c r="D192" i="6" s="1"/>
  <c r="B192" i="6"/>
  <c r="A192" i="6"/>
  <c r="C191" i="6"/>
  <c r="B191" i="6"/>
  <c r="A191" i="6"/>
  <c r="C190" i="6"/>
  <c r="B190" i="6"/>
  <c r="A190" i="6"/>
  <c r="C189" i="6"/>
  <c r="D189" i="6" s="1"/>
  <c r="B189" i="6"/>
  <c r="A189" i="6"/>
  <c r="C188" i="6"/>
  <c r="B188" i="6"/>
  <c r="A188" i="6"/>
  <c r="C187" i="6"/>
  <c r="B187" i="6"/>
  <c r="A187" i="6"/>
  <c r="C186" i="6"/>
  <c r="B186" i="6"/>
  <c r="A186" i="6"/>
  <c r="C185" i="6"/>
  <c r="B185" i="6"/>
  <c r="A185" i="6"/>
  <c r="C184" i="6"/>
  <c r="B184" i="6"/>
  <c r="A184" i="6"/>
  <c r="C183" i="6"/>
  <c r="D183" i="6" s="1"/>
  <c r="B183" i="6"/>
  <c r="A183" i="6"/>
  <c r="C182" i="6"/>
  <c r="B182" i="6"/>
  <c r="A182" i="6"/>
  <c r="C181" i="6"/>
  <c r="B181" i="6"/>
  <c r="A181" i="6"/>
  <c r="C180" i="6"/>
  <c r="D180" i="6" s="1"/>
  <c r="B180" i="6"/>
  <c r="A180" i="6"/>
  <c r="C179" i="6"/>
  <c r="B179" i="6"/>
  <c r="A179" i="6"/>
  <c r="C178" i="6"/>
  <c r="B178" i="6"/>
  <c r="A178" i="6"/>
  <c r="C177" i="6"/>
  <c r="B177" i="6"/>
  <c r="A177" i="6"/>
  <c r="C176" i="6"/>
  <c r="B176" i="6"/>
  <c r="A176" i="6"/>
  <c r="C175" i="6"/>
  <c r="B175" i="6"/>
  <c r="A175" i="6"/>
  <c r="C174" i="6"/>
  <c r="D174" i="6" s="1"/>
  <c r="B174" i="6"/>
  <c r="A174" i="6"/>
  <c r="C173" i="6"/>
  <c r="B173" i="6"/>
  <c r="A173" i="6"/>
  <c r="C172" i="6"/>
  <c r="B172" i="6"/>
  <c r="A172" i="6"/>
  <c r="C171" i="6"/>
  <c r="D171" i="6" s="1"/>
  <c r="B171" i="6"/>
  <c r="A171" i="6"/>
  <c r="C170" i="6"/>
  <c r="B170" i="6"/>
  <c r="A170" i="6"/>
  <c r="C169" i="6"/>
  <c r="B169" i="6"/>
  <c r="A169" i="6"/>
  <c r="C168" i="6"/>
  <c r="B168" i="6"/>
  <c r="A168" i="6"/>
  <c r="C167" i="6"/>
  <c r="B167" i="6"/>
  <c r="A167" i="6"/>
  <c r="C166" i="6"/>
  <c r="B166" i="6"/>
  <c r="A166" i="6"/>
  <c r="C165" i="6"/>
  <c r="D165" i="6" s="1"/>
  <c r="B165" i="6"/>
  <c r="A165" i="6"/>
  <c r="C164" i="6"/>
  <c r="B164" i="6"/>
  <c r="A164" i="6"/>
  <c r="C163" i="6"/>
  <c r="B163" i="6"/>
  <c r="A163" i="6"/>
  <c r="C162" i="6"/>
  <c r="D162" i="6" s="1"/>
  <c r="B162" i="6"/>
  <c r="A162" i="6"/>
  <c r="C161" i="6"/>
  <c r="B161" i="6"/>
  <c r="A161" i="6"/>
  <c r="C160" i="6"/>
  <c r="B160" i="6"/>
  <c r="A160" i="6"/>
  <c r="C159" i="6"/>
  <c r="B159" i="6"/>
  <c r="A159" i="6"/>
  <c r="C158" i="6"/>
  <c r="B158" i="6"/>
  <c r="A158" i="6"/>
  <c r="C157" i="6"/>
  <c r="B157" i="6"/>
  <c r="A157" i="6"/>
  <c r="C156" i="6"/>
  <c r="D156" i="6" s="1"/>
  <c r="B156" i="6"/>
  <c r="A156" i="6"/>
  <c r="C155" i="6"/>
  <c r="B155" i="6"/>
  <c r="A155" i="6"/>
  <c r="C154" i="6"/>
  <c r="D154" i="6" s="1"/>
  <c r="B154" i="6"/>
  <c r="A154" i="6"/>
  <c r="C153" i="6"/>
  <c r="D153" i="6" s="1"/>
  <c r="B153" i="6"/>
  <c r="A153" i="6"/>
  <c r="C152" i="6"/>
  <c r="B152" i="6"/>
  <c r="A152" i="6"/>
  <c r="C151" i="6"/>
  <c r="D151" i="6" s="1"/>
  <c r="B151" i="6"/>
  <c r="A151" i="6"/>
  <c r="C150" i="6"/>
  <c r="D150" i="6" s="1"/>
  <c r="B150" i="6"/>
  <c r="A150" i="6"/>
  <c r="C149" i="6"/>
  <c r="B149" i="6"/>
  <c r="A149" i="6"/>
  <c r="C148" i="6"/>
  <c r="D148" i="6" s="1"/>
  <c r="B148" i="6"/>
  <c r="A148" i="6"/>
  <c r="C147" i="6"/>
  <c r="D147" i="6" s="1"/>
  <c r="B147" i="6"/>
  <c r="A147" i="6"/>
  <c r="C146" i="6"/>
  <c r="B146" i="6"/>
  <c r="A146" i="6"/>
  <c r="C145" i="6"/>
  <c r="D145" i="6" s="1"/>
  <c r="B145" i="6"/>
  <c r="A145" i="6"/>
  <c r="C144" i="6"/>
  <c r="D144" i="6" s="1"/>
  <c r="B144" i="6"/>
  <c r="A144" i="6"/>
  <c r="C143" i="6"/>
  <c r="B143" i="6"/>
  <c r="A143" i="6"/>
  <c r="C142" i="6"/>
  <c r="D142" i="6" s="1"/>
  <c r="B142" i="6"/>
  <c r="A142" i="6"/>
  <c r="C141" i="6"/>
  <c r="D141" i="6" s="1"/>
  <c r="B141" i="6"/>
  <c r="A141" i="6"/>
  <c r="C140" i="6"/>
  <c r="B140" i="6"/>
  <c r="A140" i="6"/>
  <c r="C139" i="6"/>
  <c r="D139" i="6" s="1"/>
  <c r="B139" i="6"/>
  <c r="A139" i="6"/>
  <c r="C138" i="6"/>
  <c r="D138" i="6" s="1"/>
  <c r="B138" i="6"/>
  <c r="A138" i="6"/>
  <c r="C137" i="6"/>
  <c r="B137" i="6"/>
  <c r="A137" i="6"/>
  <c r="C136" i="6"/>
  <c r="D136" i="6" s="1"/>
  <c r="B136" i="6"/>
  <c r="A136" i="6"/>
  <c r="C135" i="6"/>
  <c r="D135" i="6" s="1"/>
  <c r="B135" i="6"/>
  <c r="A135" i="6"/>
  <c r="C134" i="6"/>
  <c r="B134" i="6"/>
  <c r="A134" i="6"/>
  <c r="C133" i="6"/>
  <c r="D133" i="6" s="1"/>
  <c r="B133" i="6"/>
  <c r="A133" i="6"/>
  <c r="C132" i="6"/>
  <c r="D132" i="6" s="1"/>
  <c r="B132" i="6"/>
  <c r="A132" i="6"/>
  <c r="C131" i="6"/>
  <c r="B131" i="6"/>
  <c r="A131" i="6"/>
  <c r="C130" i="6"/>
  <c r="D130" i="6" s="1"/>
  <c r="B130" i="6"/>
  <c r="A130" i="6"/>
  <c r="C129" i="6"/>
  <c r="D129" i="6" s="1"/>
  <c r="B129" i="6"/>
  <c r="A129" i="6"/>
  <c r="C128" i="6"/>
  <c r="B128" i="6"/>
  <c r="A128" i="6"/>
  <c r="C127" i="6"/>
  <c r="D127" i="6" s="1"/>
  <c r="B127" i="6"/>
  <c r="A127" i="6"/>
  <c r="C126" i="6"/>
  <c r="D126" i="6" s="1"/>
  <c r="B126" i="6"/>
  <c r="A126" i="6"/>
  <c r="C125" i="6"/>
  <c r="B125" i="6"/>
  <c r="A125" i="6"/>
  <c r="C124" i="6"/>
  <c r="D124" i="6" s="1"/>
  <c r="B124" i="6"/>
  <c r="A124" i="6"/>
  <c r="C123" i="6"/>
  <c r="D123" i="6" s="1"/>
  <c r="B123" i="6"/>
  <c r="A123" i="6"/>
  <c r="C122" i="6"/>
  <c r="B122" i="6"/>
  <c r="A122" i="6"/>
  <c r="C121" i="6"/>
  <c r="D121" i="6" s="1"/>
  <c r="B121" i="6"/>
  <c r="A121" i="6"/>
  <c r="C120" i="6"/>
  <c r="D120" i="6" s="1"/>
  <c r="B120" i="6"/>
  <c r="A120" i="6"/>
  <c r="C119" i="6"/>
  <c r="B119" i="6"/>
  <c r="A119" i="6"/>
  <c r="C118" i="6"/>
  <c r="D118" i="6" s="1"/>
  <c r="B118" i="6"/>
  <c r="A118" i="6"/>
  <c r="C117" i="6"/>
  <c r="D117" i="6" s="1"/>
  <c r="B117" i="6"/>
  <c r="A117" i="6"/>
  <c r="C116" i="6"/>
  <c r="B116" i="6"/>
  <c r="A116" i="6"/>
  <c r="C115" i="6"/>
  <c r="D115" i="6" s="1"/>
  <c r="B115" i="6"/>
  <c r="A115" i="6"/>
  <c r="C114" i="6"/>
  <c r="D114" i="6" s="1"/>
  <c r="B114" i="6"/>
  <c r="A114" i="6"/>
  <c r="C113" i="6"/>
  <c r="B113" i="6"/>
  <c r="A113" i="6"/>
  <c r="C112" i="6"/>
  <c r="D112" i="6" s="1"/>
  <c r="B112" i="6"/>
  <c r="A112" i="6"/>
  <c r="C111" i="6"/>
  <c r="D111" i="6" s="1"/>
  <c r="B111" i="6"/>
  <c r="A111" i="6"/>
  <c r="C110" i="6"/>
  <c r="B110" i="6"/>
  <c r="A110" i="6"/>
  <c r="C109" i="6"/>
  <c r="D109" i="6" s="1"/>
  <c r="B109" i="6"/>
  <c r="A109" i="6"/>
  <c r="C108" i="6"/>
  <c r="D108" i="6" s="1"/>
  <c r="B108" i="6"/>
  <c r="A108" i="6"/>
  <c r="C107" i="6"/>
  <c r="B107" i="6"/>
  <c r="A107" i="6"/>
  <c r="C106" i="6"/>
  <c r="D106" i="6" s="1"/>
  <c r="B106" i="6"/>
  <c r="A106" i="6"/>
  <c r="C105" i="6"/>
  <c r="D105" i="6" s="1"/>
  <c r="B105" i="6"/>
  <c r="A105" i="6"/>
  <c r="C104" i="6"/>
  <c r="B104" i="6"/>
  <c r="A104" i="6"/>
  <c r="C103" i="6"/>
  <c r="D103" i="6" s="1"/>
  <c r="B103" i="6"/>
  <c r="A103" i="6"/>
  <c r="C102" i="6"/>
  <c r="D102" i="6" s="1"/>
  <c r="B102" i="6"/>
  <c r="A102" i="6"/>
  <c r="C101" i="6"/>
  <c r="B101" i="6"/>
  <c r="A101" i="6"/>
  <c r="C100" i="6"/>
  <c r="D100" i="6" s="1"/>
  <c r="B100" i="6"/>
  <c r="A100" i="6"/>
  <c r="C99" i="6"/>
  <c r="D99" i="6" s="1"/>
  <c r="B99" i="6"/>
  <c r="A99" i="6"/>
  <c r="C98" i="6"/>
  <c r="B98" i="6"/>
  <c r="A98" i="6"/>
  <c r="C97" i="6"/>
  <c r="D97" i="6" s="1"/>
  <c r="B97" i="6"/>
  <c r="A97" i="6"/>
  <c r="C96" i="6"/>
  <c r="D96" i="6" s="1"/>
  <c r="B96" i="6"/>
  <c r="A96" i="6"/>
  <c r="C95" i="6"/>
  <c r="B95" i="6"/>
  <c r="A95" i="6"/>
  <c r="C94" i="6"/>
  <c r="D94" i="6" s="1"/>
  <c r="B94" i="6"/>
  <c r="A94" i="6"/>
  <c r="C93" i="6"/>
  <c r="D93" i="6" s="1"/>
  <c r="B93" i="6"/>
  <c r="A93" i="6"/>
  <c r="C92" i="6"/>
  <c r="B92" i="6"/>
  <c r="A92" i="6"/>
  <c r="C91" i="6"/>
  <c r="D91" i="6" s="1"/>
  <c r="B91" i="6"/>
  <c r="A91" i="6"/>
  <c r="C90" i="6"/>
  <c r="D90" i="6" s="1"/>
  <c r="B90" i="6"/>
  <c r="A90" i="6"/>
  <c r="C89" i="6"/>
  <c r="B89" i="6"/>
  <c r="A89" i="6"/>
  <c r="C88" i="6"/>
  <c r="D88" i="6" s="1"/>
  <c r="B88" i="6"/>
  <c r="A88" i="6"/>
  <c r="C87" i="6"/>
  <c r="D87" i="6" s="1"/>
  <c r="B87" i="6"/>
  <c r="A87" i="6"/>
  <c r="C86" i="6"/>
  <c r="B86" i="6"/>
  <c r="A86" i="6"/>
  <c r="C85" i="6"/>
  <c r="D85" i="6" s="1"/>
  <c r="B85" i="6"/>
  <c r="A85" i="6"/>
  <c r="C84" i="6"/>
  <c r="D84" i="6" s="1"/>
  <c r="B84" i="6"/>
  <c r="A84" i="6"/>
  <c r="C83" i="6"/>
  <c r="B83" i="6"/>
  <c r="A83" i="6"/>
  <c r="C82" i="6"/>
  <c r="D82" i="6" s="1"/>
  <c r="B82" i="6"/>
  <c r="A82" i="6"/>
  <c r="C81" i="6"/>
  <c r="D81" i="6" s="1"/>
  <c r="B81" i="6"/>
  <c r="A81" i="6"/>
  <c r="C80" i="6"/>
  <c r="B80" i="6"/>
  <c r="A80" i="6"/>
  <c r="C79" i="6"/>
  <c r="D79" i="6" s="1"/>
  <c r="B79" i="6"/>
  <c r="A79" i="6"/>
  <c r="C78" i="6"/>
  <c r="D78" i="6" s="1"/>
  <c r="B78" i="6"/>
  <c r="A78" i="6"/>
  <c r="C77" i="6"/>
  <c r="B77" i="6"/>
  <c r="A77" i="6"/>
  <c r="C76" i="6"/>
  <c r="D76" i="6" s="1"/>
  <c r="B76" i="6"/>
  <c r="A76" i="6"/>
  <c r="C75" i="6"/>
  <c r="D75" i="6" s="1"/>
  <c r="B75" i="6"/>
  <c r="A75" i="6"/>
  <c r="C74" i="6"/>
  <c r="D74" i="6" s="1"/>
  <c r="B74" i="6"/>
  <c r="A74" i="6"/>
  <c r="C73" i="6"/>
  <c r="B73" i="6"/>
  <c r="A73" i="6"/>
  <c r="C72" i="6"/>
  <c r="D72" i="6" s="1"/>
  <c r="B72" i="6"/>
  <c r="A72" i="6"/>
  <c r="C71" i="6"/>
  <c r="B71" i="6"/>
  <c r="A71" i="6"/>
  <c r="C70" i="6"/>
  <c r="D70" i="6" s="1"/>
  <c r="B70" i="6"/>
  <c r="A70" i="6"/>
  <c r="C69" i="6"/>
  <c r="D69" i="6" s="1"/>
  <c r="B69" i="6"/>
  <c r="A69" i="6"/>
  <c r="C68" i="6"/>
  <c r="B68" i="6"/>
  <c r="A68" i="6"/>
  <c r="C67" i="6"/>
  <c r="D67" i="6" s="1"/>
  <c r="B67" i="6"/>
  <c r="A67" i="6"/>
  <c r="C66" i="6"/>
  <c r="D66" i="6" s="1"/>
  <c r="B66" i="6"/>
  <c r="A66" i="6"/>
  <c r="C65" i="6"/>
  <c r="B65" i="6"/>
  <c r="A65" i="6"/>
  <c r="C64" i="6"/>
  <c r="D64" i="6" s="1"/>
  <c r="B64" i="6"/>
  <c r="A64" i="6"/>
  <c r="C63" i="6"/>
  <c r="D63" i="6" s="1"/>
  <c r="B63" i="6"/>
  <c r="A63" i="6"/>
  <c r="C62" i="6"/>
  <c r="B62" i="6"/>
  <c r="A62" i="6"/>
  <c r="C61" i="6"/>
  <c r="D61" i="6" s="1"/>
  <c r="B61" i="6"/>
  <c r="A61" i="6"/>
  <c r="C60" i="6"/>
  <c r="D60" i="6" s="1"/>
  <c r="B60" i="6"/>
  <c r="A60" i="6"/>
  <c r="C59" i="6"/>
  <c r="B59" i="6"/>
  <c r="A59" i="6"/>
  <c r="C58" i="6"/>
  <c r="D58" i="6" s="1"/>
  <c r="B58" i="6"/>
  <c r="A58" i="6"/>
  <c r="C57" i="6"/>
  <c r="D57" i="6" s="1"/>
  <c r="B57" i="6"/>
  <c r="A57" i="6"/>
  <c r="C56" i="6"/>
  <c r="B56" i="6"/>
  <c r="A56" i="6"/>
  <c r="C55" i="6"/>
  <c r="D55" i="6" s="1"/>
  <c r="B55" i="6"/>
  <c r="A55" i="6"/>
  <c r="C54" i="6"/>
  <c r="D54" i="6" s="1"/>
  <c r="B54" i="6"/>
  <c r="A54" i="6"/>
  <c r="C53" i="6"/>
  <c r="B53" i="6"/>
  <c r="A53" i="6"/>
  <c r="C52" i="6"/>
  <c r="D52" i="6" s="1"/>
  <c r="B52" i="6"/>
  <c r="A52" i="6"/>
  <c r="C51" i="6"/>
  <c r="D51" i="6" s="1"/>
  <c r="B51" i="6"/>
  <c r="A51" i="6"/>
  <c r="C50" i="6"/>
  <c r="B50" i="6"/>
  <c r="A50" i="6"/>
  <c r="C49" i="6"/>
  <c r="D49" i="6" s="1"/>
  <c r="B49" i="6"/>
  <c r="A49" i="6"/>
  <c r="C48" i="6"/>
  <c r="D48" i="6" s="1"/>
  <c r="B48" i="6"/>
  <c r="A48" i="6"/>
  <c r="C47" i="6"/>
  <c r="B47" i="6"/>
  <c r="A47" i="6"/>
  <c r="C46" i="6"/>
  <c r="D46" i="6" s="1"/>
  <c r="B46" i="6"/>
  <c r="A46" i="6"/>
  <c r="C45" i="6"/>
  <c r="D45" i="6" s="1"/>
  <c r="B45" i="6"/>
  <c r="A45" i="6"/>
  <c r="C44" i="6"/>
  <c r="B44" i="6"/>
  <c r="A44" i="6"/>
  <c r="C43" i="6"/>
  <c r="D43" i="6" s="1"/>
  <c r="B43" i="6"/>
  <c r="A43" i="6"/>
  <c r="C42" i="6"/>
  <c r="D42" i="6" s="1"/>
  <c r="B42" i="6"/>
  <c r="A42" i="6"/>
  <c r="C41" i="6"/>
  <c r="B41" i="6"/>
  <c r="A41" i="6"/>
  <c r="C40" i="6"/>
  <c r="B40" i="6"/>
  <c r="A40" i="6"/>
  <c r="C39" i="6"/>
  <c r="D39" i="6" s="1"/>
  <c r="B39" i="6"/>
  <c r="A39" i="6"/>
  <c r="C38" i="6"/>
  <c r="B38" i="6"/>
  <c r="A38" i="6"/>
  <c r="C37" i="6"/>
  <c r="B37" i="6"/>
  <c r="A37" i="6"/>
  <c r="C36" i="6"/>
  <c r="D36" i="6" s="1"/>
  <c r="B36" i="6"/>
  <c r="A36" i="6"/>
  <c r="C35" i="6"/>
  <c r="B35" i="6"/>
  <c r="A35" i="6"/>
  <c r="C34" i="6"/>
  <c r="B34" i="6"/>
  <c r="A34" i="6"/>
  <c r="C33" i="6"/>
  <c r="D33" i="6" s="1"/>
  <c r="B33" i="6"/>
  <c r="A33" i="6"/>
  <c r="C32" i="6"/>
  <c r="B32" i="6"/>
  <c r="A32" i="6"/>
  <c r="C31" i="6"/>
  <c r="B31" i="6"/>
  <c r="G70" i="6" s="1"/>
  <c r="B41" i="8" s="1"/>
  <c r="A31" i="6"/>
  <c r="C30" i="6"/>
  <c r="B30" i="6"/>
  <c r="A30" i="6"/>
  <c r="N23" i="6"/>
  <c r="N22" i="6"/>
  <c r="D201" i="6" s="1"/>
  <c r="N21" i="6"/>
  <c r="D40" i="6" s="1"/>
  <c r="F6" i="6" a="1"/>
  <c r="F6" i="6" s="1"/>
  <c r="E6" i="6" a="1"/>
  <c r="E6" i="6" s="1"/>
  <c r="D6" i="6" a="1"/>
  <c r="D6" i="6" s="1"/>
  <c r="C6" i="6" a="1"/>
  <c r="C6" i="6" s="1"/>
  <c r="F5" i="6" a="1"/>
  <c r="F5" i="6"/>
  <c r="E5" i="6" a="1"/>
  <c r="E5" i="6" s="1"/>
  <c r="D5" i="6" a="1"/>
  <c r="D5" i="6" s="1"/>
  <c r="C5" i="6" a="1"/>
  <c r="C5" i="6" s="1"/>
  <c r="F4" i="6"/>
  <c r="E4" i="6"/>
  <c r="D4" i="6"/>
  <c r="C4" i="6"/>
  <c r="E32" i="3"/>
  <c r="D32" i="3"/>
  <c r="E31" i="3"/>
  <c r="D31" i="3"/>
  <c r="T23" i="3"/>
  <c r="U21" i="3"/>
  <c r="T20" i="3"/>
  <c r="T19" i="3" a="1"/>
  <c r="U22" i="3" s="1"/>
  <c r="T19" i="3"/>
  <c r="T25" i="3" s="1"/>
  <c r="T3" i="3" a="1"/>
  <c r="T7" i="3" s="1"/>
  <c r="H15" i="9" l="1"/>
  <c r="H16" i="9"/>
  <c r="H17" i="9" s="1"/>
  <c r="J15" i="9"/>
  <c r="J16" i="9"/>
  <c r="J17" i="9" s="1"/>
  <c r="L15" i="9"/>
  <c r="L16" i="9"/>
  <c r="L17" i="9" s="1"/>
  <c r="N5" i="10"/>
  <c r="M5" i="10"/>
  <c r="L5" i="10"/>
  <c r="K5" i="10"/>
  <c r="J5" i="10"/>
  <c r="I5" i="10"/>
  <c r="H5" i="10"/>
  <c r="G5" i="10"/>
  <c r="F5" i="10"/>
  <c r="E5" i="10"/>
  <c r="N7" i="10"/>
  <c r="M7" i="10"/>
  <c r="L7" i="10"/>
  <c r="K7" i="10"/>
  <c r="J7" i="10"/>
  <c r="I7" i="10"/>
  <c r="H7" i="10"/>
  <c r="G7" i="10"/>
  <c r="F7" i="10"/>
  <c r="E7" i="10"/>
  <c r="N9" i="10"/>
  <c r="M9" i="10"/>
  <c r="L9" i="10"/>
  <c r="K9" i="10"/>
  <c r="J9" i="10"/>
  <c r="I9" i="10"/>
  <c r="H9" i="10"/>
  <c r="G9" i="10"/>
  <c r="F9" i="10"/>
  <c r="E9" i="10"/>
  <c r="N11" i="10"/>
  <c r="M11" i="10"/>
  <c r="L11" i="10"/>
  <c r="K11" i="10"/>
  <c r="J11" i="10"/>
  <c r="I11" i="10"/>
  <c r="H11" i="10"/>
  <c r="G11" i="10"/>
  <c r="F11" i="10"/>
  <c r="E11" i="10"/>
  <c r="N19" i="9"/>
  <c r="N20" i="9" s="1"/>
  <c r="L19" i="9"/>
  <c r="L20" i="9" s="1"/>
  <c r="J19" i="9"/>
  <c r="J20" i="9" s="1"/>
  <c r="H19" i="9"/>
  <c r="H20" i="9" s="1"/>
  <c r="F15" i="9"/>
  <c r="F16" i="9"/>
  <c r="F17" i="9" s="1"/>
  <c r="F19" i="9" s="1"/>
  <c r="F20" i="9" s="1"/>
  <c r="G5" i="9"/>
  <c r="F5" i="9"/>
  <c r="H5" i="9"/>
  <c r="I5" i="9"/>
  <c r="J5" i="9"/>
  <c r="K5" i="9"/>
  <c r="L5" i="9"/>
  <c r="M5" i="9"/>
  <c r="N5" i="9"/>
  <c r="E5" i="9"/>
  <c r="I7" i="9"/>
  <c r="F7" i="9"/>
  <c r="G7" i="9"/>
  <c r="H7" i="9"/>
  <c r="J7" i="9"/>
  <c r="K7" i="9"/>
  <c r="L7" i="9"/>
  <c r="M7" i="9"/>
  <c r="N7" i="9"/>
  <c r="E7" i="9"/>
  <c r="K9" i="9"/>
  <c r="F9" i="9"/>
  <c r="G9" i="9"/>
  <c r="H9" i="9"/>
  <c r="I9" i="9"/>
  <c r="J9" i="9"/>
  <c r="L9" i="9"/>
  <c r="M9" i="9"/>
  <c r="N9" i="9"/>
  <c r="E9" i="9"/>
  <c r="M11" i="9"/>
  <c r="F11" i="9"/>
  <c r="G11" i="9"/>
  <c r="H11" i="9"/>
  <c r="I11" i="9"/>
  <c r="J11" i="9"/>
  <c r="K11" i="9"/>
  <c r="L11" i="9"/>
  <c r="N11" i="9"/>
  <c r="E11" i="9"/>
  <c r="G56" i="6"/>
  <c r="B27" i="8" s="1"/>
  <c r="U4" i="3"/>
  <c r="T6" i="3"/>
  <c r="U7" i="3"/>
  <c r="U25" i="3"/>
  <c r="D32" i="6"/>
  <c r="G33" i="6"/>
  <c r="B4" i="8" s="1"/>
  <c r="D35" i="6"/>
  <c r="G36" i="6"/>
  <c r="B7" i="8" s="1"/>
  <c r="D38" i="6"/>
  <c r="G39" i="6"/>
  <c r="B10" i="8" s="1"/>
  <c r="D41" i="6"/>
  <c r="F10" i="6" s="1"/>
  <c r="G42" i="6"/>
  <c r="B13" i="8" s="1"/>
  <c r="D44" i="6"/>
  <c r="G45" i="6"/>
  <c r="B16" i="8" s="1"/>
  <c r="D47" i="6"/>
  <c r="D50" i="6"/>
  <c r="G51" i="6"/>
  <c r="B22" i="8" s="1"/>
  <c r="D53" i="6"/>
  <c r="G54" i="6"/>
  <c r="B25" i="8" s="1"/>
  <c r="D56" i="6"/>
  <c r="G57" i="6"/>
  <c r="B28" i="8" s="1"/>
  <c r="D59" i="6"/>
  <c r="G60" i="6"/>
  <c r="B31" i="8" s="1"/>
  <c r="D62" i="6"/>
  <c r="D65" i="6"/>
  <c r="G66" i="6"/>
  <c r="B37" i="8" s="1"/>
  <c r="D68" i="6"/>
  <c r="G69" i="6"/>
  <c r="B40" i="8" s="1"/>
  <c r="D71" i="6"/>
  <c r="D73" i="6"/>
  <c r="D77" i="6"/>
  <c r="D80" i="6"/>
  <c r="D83" i="6"/>
  <c r="G48" i="6" s="1"/>
  <c r="B19" i="8" s="1"/>
  <c r="D86" i="6"/>
  <c r="D89" i="6"/>
  <c r="D92" i="6"/>
  <c r="D95" i="6"/>
  <c r="G53" i="6" s="1"/>
  <c r="B24" i="8" s="1"/>
  <c r="D98" i="6"/>
  <c r="D101" i="6"/>
  <c r="D104" i="6"/>
  <c r="D107" i="6"/>
  <c r="D110" i="6"/>
  <c r="D113" i="6"/>
  <c r="D116" i="6"/>
  <c r="D119" i="6"/>
  <c r="G63" i="6" s="1"/>
  <c r="B34" i="8" s="1"/>
  <c r="D122" i="6"/>
  <c r="D125" i="6"/>
  <c r="D128" i="6"/>
  <c r="D131" i="6"/>
  <c r="G68" i="6" s="1"/>
  <c r="B39" i="8" s="1"/>
  <c r="D134" i="6"/>
  <c r="D137" i="6"/>
  <c r="D140" i="6"/>
  <c r="D143" i="6"/>
  <c r="G74" i="6" s="1"/>
  <c r="B45" i="8" s="1"/>
  <c r="D146" i="6"/>
  <c r="D149" i="6"/>
  <c r="D152" i="6"/>
  <c r="D155" i="6"/>
  <c r="D159" i="6"/>
  <c r="D160" i="6"/>
  <c r="D164" i="6"/>
  <c r="D168" i="6"/>
  <c r="D169" i="6"/>
  <c r="D173" i="6"/>
  <c r="D177" i="6"/>
  <c r="D178" i="6"/>
  <c r="D182" i="6"/>
  <c r="D186" i="6"/>
  <c r="D187" i="6"/>
  <c r="D191" i="6"/>
  <c r="D198" i="6"/>
  <c r="D199" i="6"/>
  <c r="D207" i="6"/>
  <c r="D208" i="6"/>
  <c r="D211" i="6"/>
  <c r="D219" i="6"/>
  <c r="D228" i="6"/>
  <c r="D237" i="6"/>
  <c r="D246" i="6"/>
  <c r="D255" i="6"/>
  <c r="D264" i="6"/>
  <c r="D273" i="6"/>
  <c r="D282" i="6"/>
  <c r="D285" i="6"/>
  <c r="D291" i="6"/>
  <c r="D294" i="6"/>
  <c r="D300" i="6"/>
  <c r="D303" i="6"/>
  <c r="D309" i="6"/>
  <c r="D312" i="6"/>
  <c r="D318" i="6"/>
  <c r="D321" i="6"/>
  <c r="D327" i="6"/>
  <c r="D330" i="6"/>
  <c r="D336" i="6"/>
  <c r="D339" i="6"/>
  <c r="D345" i="6"/>
  <c r="D348" i="6"/>
  <c r="D354" i="6"/>
  <c r="D357" i="6"/>
  <c r="D363" i="6"/>
  <c r="D366" i="6"/>
  <c r="D372" i="6"/>
  <c r="D375" i="6"/>
  <c r="D381" i="6"/>
  <c r="D384" i="6"/>
  <c r="D390" i="6"/>
  <c r="D393" i="6"/>
  <c r="D399" i="6"/>
  <c r="D402" i="6"/>
  <c r="D408" i="6"/>
  <c r="D411" i="6"/>
  <c r="D417" i="6"/>
  <c r="D420" i="6"/>
  <c r="D426" i="6"/>
  <c r="D429" i="6"/>
  <c r="D435" i="6"/>
  <c r="D438" i="6"/>
  <c r="D444" i="6"/>
  <c r="D447" i="6"/>
  <c r="D31" i="6"/>
  <c r="G32" i="6"/>
  <c r="B3" i="8" s="1"/>
  <c r="D34" i="6"/>
  <c r="G35" i="6"/>
  <c r="B6" i="8" s="1"/>
  <c r="D37" i="6"/>
  <c r="E10" i="6" s="1"/>
  <c r="G38" i="6"/>
  <c r="B9" i="8" s="1"/>
  <c r="G41" i="6"/>
  <c r="B12" i="8" s="1"/>
  <c r="G44" i="6"/>
  <c r="B15" i="8" s="1"/>
  <c r="G47" i="6"/>
  <c r="B18" i="8" s="1"/>
  <c r="G50" i="6"/>
  <c r="B21" i="8" s="1"/>
  <c r="G59" i="6"/>
  <c r="B30" i="8" s="1"/>
  <c r="G62" i="6"/>
  <c r="B33" i="8" s="1"/>
  <c r="G65" i="6"/>
  <c r="B36" i="8" s="1"/>
  <c r="G71" i="6"/>
  <c r="B42" i="8" s="1"/>
  <c r="G73" i="6"/>
  <c r="B44" i="8" s="1"/>
  <c r="D157" i="6"/>
  <c r="D161" i="6"/>
  <c r="D166" i="6"/>
  <c r="D170" i="6"/>
  <c r="D175" i="6"/>
  <c r="D179" i="6"/>
  <c r="D184" i="6"/>
  <c r="D188" i="6"/>
  <c r="D193" i="6"/>
  <c r="D202" i="6"/>
  <c r="U3" i="3"/>
  <c r="T5" i="3"/>
  <c r="U6" i="3"/>
  <c r="U20" i="3"/>
  <c r="T22" i="3"/>
  <c r="U23" i="3"/>
  <c r="T3" i="3"/>
  <c r="T4" i="3"/>
  <c r="U5" i="3"/>
  <c r="U19" i="3"/>
  <c r="T21" i="3"/>
  <c r="D857" i="6"/>
  <c r="D848" i="6"/>
  <c r="D839" i="6"/>
  <c r="D830" i="6"/>
  <c r="D821" i="6"/>
  <c r="D812" i="6"/>
  <c r="D803" i="6"/>
  <c r="D794" i="6"/>
  <c r="D785" i="6"/>
  <c r="D776" i="6"/>
  <c r="D767" i="6"/>
  <c r="D758" i="6"/>
  <c r="D749" i="6"/>
  <c r="D740" i="6"/>
  <c r="D731" i="6"/>
  <c r="D722" i="6"/>
  <c r="D713" i="6"/>
  <c r="D704" i="6"/>
  <c r="D695" i="6"/>
  <c r="D686" i="6"/>
  <c r="D677" i="6"/>
  <c r="D668" i="6"/>
  <c r="D659" i="6"/>
  <c r="D650" i="6"/>
  <c r="D641" i="6"/>
  <c r="D632" i="6"/>
  <c r="D623" i="6"/>
  <c r="D614" i="6"/>
  <c r="D855" i="6"/>
  <c r="D851" i="6"/>
  <c r="D846" i="6"/>
  <c r="D842" i="6"/>
  <c r="D837" i="6"/>
  <c r="D833" i="6"/>
  <c r="D828" i="6"/>
  <c r="D824" i="6"/>
  <c r="D819" i="6"/>
  <c r="D815" i="6"/>
  <c r="D810" i="6"/>
  <c r="D806" i="6"/>
  <c r="D801" i="6"/>
  <c r="D797" i="6"/>
  <c r="D854" i="6"/>
  <c r="D845" i="6"/>
  <c r="D836" i="6"/>
  <c r="D831" i="6"/>
  <c r="D827" i="6"/>
  <c r="D822" i="6"/>
  <c r="D818" i="6"/>
  <c r="D813" i="6"/>
  <c r="D809" i="6"/>
  <c r="D804" i="6"/>
  <c r="D800" i="6"/>
  <c r="D795" i="6"/>
  <c r="D791" i="6"/>
  <c r="D786" i="6"/>
  <c r="D782" i="6"/>
  <c r="D777" i="6"/>
  <c r="D773" i="6"/>
  <c r="D768" i="6"/>
  <c r="D764" i="6"/>
  <c r="D759" i="6"/>
  <c r="D755" i="6"/>
  <c r="D750" i="6"/>
  <c r="D746" i="6"/>
  <c r="D741" i="6"/>
  <c r="D737" i="6"/>
  <c r="D732" i="6"/>
  <c r="D728" i="6"/>
  <c r="D723" i="6"/>
  <c r="D719" i="6"/>
  <c r="D714" i="6"/>
  <c r="D710" i="6"/>
  <c r="D705" i="6"/>
  <c r="D701" i="6"/>
  <c r="D788" i="6"/>
  <c r="D774" i="6"/>
  <c r="D761" i="6"/>
  <c r="D747" i="6"/>
  <c r="D734" i="6"/>
  <c r="D720" i="6"/>
  <c r="D707" i="6"/>
  <c r="D696" i="6"/>
  <c r="D689" i="6"/>
  <c r="D683" i="6"/>
  <c r="D669" i="6"/>
  <c r="D662" i="6"/>
  <c r="D656" i="6"/>
  <c r="D642" i="6"/>
  <c r="D635" i="6"/>
  <c r="D629" i="6"/>
  <c r="D615" i="6"/>
  <c r="D605" i="6"/>
  <c r="D783" i="6"/>
  <c r="D770" i="6"/>
  <c r="D756" i="6"/>
  <c r="D743" i="6"/>
  <c r="D729" i="6"/>
  <c r="D716" i="6"/>
  <c r="D702" i="6"/>
  <c r="D687" i="6"/>
  <c r="D680" i="6"/>
  <c r="D674" i="6"/>
  <c r="D660" i="6"/>
  <c r="D653" i="6"/>
  <c r="D647" i="6"/>
  <c r="D633" i="6"/>
  <c r="D626" i="6"/>
  <c r="D620" i="6"/>
  <c r="D608" i="6"/>
  <c r="D576" i="6"/>
  <c r="D573" i="6"/>
  <c r="D570" i="6"/>
  <c r="D567" i="6"/>
  <c r="D564" i="6"/>
  <c r="D561" i="6"/>
  <c r="D558" i="6"/>
  <c r="D555" i="6"/>
  <c r="D552" i="6"/>
  <c r="D549" i="6"/>
  <c r="D546" i="6"/>
  <c r="D543" i="6"/>
  <c r="D540" i="6"/>
  <c r="D537" i="6"/>
  <c r="D534" i="6"/>
  <c r="D531" i="6"/>
  <c r="D528" i="6"/>
  <c r="D525" i="6"/>
  <c r="D522" i="6"/>
  <c r="D519" i="6"/>
  <c r="D516" i="6"/>
  <c r="D513" i="6"/>
  <c r="D510" i="6"/>
  <c r="D507" i="6"/>
  <c r="D504" i="6"/>
  <c r="D501" i="6"/>
  <c r="D498" i="6"/>
  <c r="D495" i="6"/>
  <c r="D492" i="6"/>
  <c r="D489" i="6"/>
  <c r="D486" i="6"/>
  <c r="D483" i="6"/>
  <c r="D480" i="6"/>
  <c r="D477" i="6"/>
  <c r="D474" i="6"/>
  <c r="D471" i="6"/>
  <c r="D792" i="6"/>
  <c r="D779" i="6"/>
  <c r="D765" i="6"/>
  <c r="D752" i="6"/>
  <c r="D738" i="6"/>
  <c r="D725" i="6"/>
  <c r="D711" i="6"/>
  <c r="D698" i="6"/>
  <c r="D692" i="6"/>
  <c r="D684" i="6"/>
  <c r="D678" i="6"/>
  <c r="D671" i="6"/>
  <c r="D665" i="6"/>
  <c r="D657" i="6"/>
  <c r="D651" i="6"/>
  <c r="D644" i="6"/>
  <c r="D638" i="6"/>
  <c r="D630" i="6"/>
  <c r="D624" i="6"/>
  <c r="D617" i="6"/>
  <c r="D611" i="6"/>
  <c r="D606" i="6"/>
  <c r="D602" i="6"/>
  <c r="D599" i="6"/>
  <c r="D596" i="6"/>
  <c r="D593" i="6"/>
  <c r="D590" i="6"/>
  <c r="D587" i="6"/>
  <c r="D584" i="6"/>
  <c r="D581" i="6"/>
  <c r="D578" i="6"/>
  <c r="D575" i="6"/>
  <c r="D572" i="6"/>
  <c r="D569" i="6"/>
  <c r="D566" i="6"/>
  <c r="D563" i="6"/>
  <c r="D560" i="6"/>
  <c r="D557" i="6"/>
  <c r="D554" i="6"/>
  <c r="D551" i="6"/>
  <c r="D548" i="6"/>
  <c r="D545" i="6"/>
  <c r="D542" i="6"/>
  <c r="D539" i="6"/>
  <c r="D536" i="6"/>
  <c r="D533" i="6"/>
  <c r="D530" i="6"/>
  <c r="D527" i="6"/>
  <c r="D524" i="6"/>
  <c r="D521" i="6"/>
  <c r="D518" i="6"/>
  <c r="D515" i="6"/>
  <c r="D512" i="6"/>
  <c r="D509" i="6"/>
  <c r="D506" i="6"/>
  <c r="D503" i="6"/>
  <c r="D500" i="6"/>
  <c r="D497" i="6"/>
  <c r="D494" i="6"/>
  <c r="D491" i="6"/>
  <c r="D488" i="6"/>
  <c r="D485" i="6"/>
  <c r="D482" i="6"/>
  <c r="D479" i="6"/>
  <c r="D476" i="6"/>
  <c r="D473" i="6"/>
  <c r="D470" i="6"/>
  <c r="D467" i="6"/>
  <c r="D464" i="6"/>
  <c r="D461" i="6"/>
  <c r="D458" i="6"/>
  <c r="D455" i="6"/>
  <c r="D452" i="6"/>
  <c r="D465" i="6"/>
  <c r="D456" i="6"/>
  <c r="D449" i="6"/>
  <c r="D440" i="6"/>
  <c r="D431" i="6"/>
  <c r="D422" i="6"/>
  <c r="D413" i="6"/>
  <c r="D404" i="6"/>
  <c r="D395" i="6"/>
  <c r="D386" i="6"/>
  <c r="D377" i="6"/>
  <c r="D368" i="6"/>
  <c r="D359" i="6"/>
  <c r="D350" i="6"/>
  <c r="D341" i="6"/>
  <c r="D332" i="6"/>
  <c r="D323" i="6"/>
  <c r="D314" i="6"/>
  <c r="D305" i="6"/>
  <c r="D296" i="6"/>
  <c r="D287" i="6"/>
  <c r="D278" i="6"/>
  <c r="D269" i="6"/>
  <c r="D260" i="6"/>
  <c r="D251" i="6"/>
  <c r="D242" i="6"/>
  <c r="D233" i="6"/>
  <c r="D224" i="6"/>
  <c r="D215" i="6"/>
  <c r="D462" i="6"/>
  <c r="D453" i="6"/>
  <c r="D443" i="6"/>
  <c r="D434" i="6"/>
  <c r="D425" i="6"/>
  <c r="D416" i="6"/>
  <c r="D407" i="6"/>
  <c r="D398" i="6"/>
  <c r="D389" i="6"/>
  <c r="D380" i="6"/>
  <c r="D371" i="6"/>
  <c r="D362" i="6"/>
  <c r="D353" i="6"/>
  <c r="D344" i="6"/>
  <c r="D335" i="6"/>
  <c r="D326" i="6"/>
  <c r="D317" i="6"/>
  <c r="D308" i="6"/>
  <c r="D299" i="6"/>
  <c r="D290" i="6"/>
  <c r="D281" i="6"/>
  <c r="D276" i="6"/>
  <c r="D272" i="6"/>
  <c r="D267" i="6"/>
  <c r="D263" i="6"/>
  <c r="D258" i="6"/>
  <c r="D254" i="6"/>
  <c r="D249" i="6"/>
  <c r="D245" i="6"/>
  <c r="D240" i="6"/>
  <c r="D236" i="6"/>
  <c r="D231" i="6"/>
  <c r="D227" i="6"/>
  <c r="D222" i="6"/>
  <c r="D218" i="6"/>
  <c r="D213" i="6"/>
  <c r="D210" i="6"/>
  <c r="D468" i="6"/>
  <c r="D459" i="6"/>
  <c r="D450" i="6"/>
  <c r="D446" i="6"/>
  <c r="D441" i="6"/>
  <c r="D437" i="6"/>
  <c r="D432" i="6"/>
  <c r="D428" i="6"/>
  <c r="D423" i="6"/>
  <c r="D419" i="6"/>
  <c r="D414" i="6"/>
  <c r="D410" i="6"/>
  <c r="D405" i="6"/>
  <c r="D401" i="6"/>
  <c r="D396" i="6"/>
  <c r="D392" i="6"/>
  <c r="D387" i="6"/>
  <c r="D383" i="6"/>
  <c r="D378" i="6"/>
  <c r="D374" i="6"/>
  <c r="D369" i="6"/>
  <c r="D365" i="6"/>
  <c r="D360" i="6"/>
  <c r="D356" i="6"/>
  <c r="D351" i="6"/>
  <c r="D347" i="6"/>
  <c r="D342" i="6"/>
  <c r="D338" i="6"/>
  <c r="D333" i="6"/>
  <c r="D329" i="6"/>
  <c r="D324" i="6"/>
  <c r="D320" i="6"/>
  <c r="D315" i="6"/>
  <c r="D311" i="6"/>
  <c r="D306" i="6"/>
  <c r="D302" i="6"/>
  <c r="D297" i="6"/>
  <c r="D293" i="6"/>
  <c r="D288" i="6"/>
  <c r="D284" i="6"/>
  <c r="D279" i="6"/>
  <c r="D275" i="6"/>
  <c r="D270" i="6"/>
  <c r="D266" i="6"/>
  <c r="D261" i="6"/>
  <c r="D257" i="6"/>
  <c r="D252" i="6"/>
  <c r="D248" i="6"/>
  <c r="D243" i="6"/>
  <c r="D239" i="6"/>
  <c r="D234" i="6"/>
  <c r="D230" i="6"/>
  <c r="D225" i="6"/>
  <c r="D221" i="6"/>
  <c r="D216" i="6"/>
  <c r="D212" i="6"/>
  <c r="D209" i="6"/>
  <c r="D206" i="6"/>
  <c r="D203" i="6"/>
  <c r="D200" i="6"/>
  <c r="D197" i="6"/>
  <c r="D194" i="6"/>
  <c r="G31" i="6"/>
  <c r="B2" i="8" s="1"/>
  <c r="G34" i="6"/>
  <c r="B5" i="8" s="1"/>
  <c r="G37" i="6"/>
  <c r="B8" i="8" s="1"/>
  <c r="G40" i="6"/>
  <c r="B11" i="8" s="1"/>
  <c r="G43" i="6"/>
  <c r="B14" i="8" s="1"/>
  <c r="G46" i="6"/>
  <c r="B17" i="8" s="1"/>
  <c r="G49" i="6"/>
  <c r="B20" i="8" s="1"/>
  <c r="G52" i="6"/>
  <c r="B23" i="8" s="1"/>
  <c r="G55" i="6"/>
  <c r="B26" i="8" s="1"/>
  <c r="G58" i="6"/>
  <c r="B29" i="8" s="1"/>
  <c r="G61" i="6"/>
  <c r="B32" i="8" s="1"/>
  <c r="G64" i="6"/>
  <c r="B35" i="8" s="1"/>
  <c r="G67" i="6"/>
  <c r="B38" i="8" s="1"/>
  <c r="D158" i="6"/>
  <c r="D163" i="6"/>
  <c r="D167" i="6"/>
  <c r="D172" i="6"/>
  <c r="D176" i="6"/>
  <c r="D181" i="6"/>
  <c r="D185" i="6"/>
  <c r="D190" i="6"/>
  <c r="D195" i="6"/>
  <c r="D196" i="6"/>
  <c r="D204" i="6"/>
  <c r="D205" i="6"/>
  <c r="D217" i="6"/>
  <c r="D226" i="6"/>
  <c r="D235" i="6"/>
  <c r="D244" i="6"/>
  <c r="D253" i="6"/>
  <c r="D262" i="6"/>
  <c r="D271" i="6"/>
  <c r="D280" i="6"/>
  <c r="D289" i="6"/>
  <c r="D298" i="6"/>
  <c r="D307" i="6"/>
  <c r="D316" i="6"/>
  <c r="D325" i="6"/>
  <c r="D334" i="6"/>
  <c r="D343" i="6"/>
  <c r="D352" i="6"/>
  <c r="D361" i="6"/>
  <c r="D370" i="6"/>
  <c r="D379" i="6"/>
  <c r="D388" i="6"/>
  <c r="D397" i="6"/>
  <c r="D406" i="6"/>
  <c r="D415" i="6"/>
  <c r="D424" i="6"/>
  <c r="D433" i="6"/>
  <c r="D442" i="6"/>
  <c r="D451" i="6"/>
  <c r="D460" i="6"/>
  <c r="D469" i="6"/>
  <c r="D472" i="6"/>
  <c r="D475" i="6"/>
  <c r="D478" i="6"/>
  <c r="D481" i="6"/>
  <c r="D484" i="6"/>
  <c r="D487" i="6"/>
  <c r="D490" i="6"/>
  <c r="D493" i="6"/>
  <c r="D496" i="6"/>
  <c r="D499" i="6"/>
  <c r="D502" i="6"/>
  <c r="D505" i="6"/>
  <c r="D508" i="6"/>
  <c r="D511" i="6"/>
  <c r="D514" i="6"/>
  <c r="D517" i="6"/>
  <c r="D520" i="6"/>
  <c r="D523" i="6"/>
  <c r="D526" i="6"/>
  <c r="D529" i="6"/>
  <c r="D532" i="6"/>
  <c r="D535" i="6"/>
  <c r="D538" i="6"/>
  <c r="D541" i="6"/>
  <c r="D544" i="6"/>
  <c r="D547" i="6"/>
  <c r="D550" i="6"/>
  <c r="D553" i="6"/>
  <c r="D556" i="6"/>
  <c r="D559" i="6"/>
  <c r="D562" i="6"/>
  <c r="D565" i="6"/>
  <c r="D568" i="6"/>
  <c r="D571" i="6"/>
  <c r="D574" i="6"/>
  <c r="D577" i="6"/>
  <c r="D579" i="6"/>
  <c r="D580" i="6"/>
  <c r="D582" i="6"/>
  <c r="D583" i="6"/>
  <c r="D585" i="6"/>
  <c r="D586" i="6"/>
  <c r="D588" i="6"/>
  <c r="D589" i="6"/>
  <c r="D591" i="6"/>
  <c r="D592" i="6"/>
  <c r="D594" i="6"/>
  <c r="D595" i="6"/>
  <c r="D597" i="6"/>
  <c r="D598" i="6"/>
  <c r="D600" i="6"/>
  <c r="D601" i="6"/>
  <c r="D603" i="6"/>
  <c r="D609" i="6"/>
  <c r="D612" i="6"/>
  <c r="D621" i="6"/>
  <c r="D639" i="6"/>
  <c r="D648" i="6"/>
  <c r="D666" i="6"/>
  <c r="D675" i="6"/>
  <c r="D693" i="6"/>
  <c r="D214" i="6"/>
  <c r="D223" i="6"/>
  <c r="D232" i="6"/>
  <c r="D241" i="6"/>
  <c r="D250" i="6"/>
  <c r="D259" i="6"/>
  <c r="D268" i="6"/>
  <c r="D277" i="6"/>
  <c r="D286" i="6"/>
  <c r="D295" i="6"/>
  <c r="D304" i="6"/>
  <c r="D313" i="6"/>
  <c r="D322" i="6"/>
  <c r="D331" i="6"/>
  <c r="D340" i="6"/>
  <c r="D349" i="6"/>
  <c r="D358" i="6"/>
  <c r="D367" i="6"/>
  <c r="D376" i="6"/>
  <c r="D385" i="6"/>
  <c r="D394" i="6"/>
  <c r="D403" i="6"/>
  <c r="D412" i="6"/>
  <c r="D421" i="6"/>
  <c r="D430" i="6"/>
  <c r="D439" i="6"/>
  <c r="D448" i="6"/>
  <c r="D454" i="6"/>
  <c r="D463" i="6"/>
  <c r="D220" i="6"/>
  <c r="D229" i="6"/>
  <c r="D238" i="6"/>
  <c r="D247" i="6"/>
  <c r="D256" i="6"/>
  <c r="D265" i="6"/>
  <c r="D274" i="6"/>
  <c r="D283" i="6"/>
  <c r="D292" i="6"/>
  <c r="D301" i="6"/>
  <c r="D310" i="6"/>
  <c r="D319" i="6"/>
  <c r="D328" i="6"/>
  <c r="D337" i="6"/>
  <c r="D346" i="6"/>
  <c r="D355" i="6"/>
  <c r="D364" i="6"/>
  <c r="D373" i="6"/>
  <c r="D382" i="6"/>
  <c r="D391" i="6"/>
  <c r="D400" i="6"/>
  <c r="D409" i="6"/>
  <c r="D418" i="6"/>
  <c r="D427" i="6"/>
  <c r="D436" i="6"/>
  <c r="D445" i="6"/>
  <c r="D457" i="6"/>
  <c r="D466" i="6"/>
  <c r="D607" i="6"/>
  <c r="D618" i="6"/>
  <c r="D625" i="6"/>
  <c r="D631" i="6"/>
  <c r="D645" i="6"/>
  <c r="D652" i="6"/>
  <c r="D658" i="6"/>
  <c r="D672" i="6"/>
  <c r="D679" i="6"/>
  <c r="D685" i="6"/>
  <c r="D699" i="6"/>
  <c r="D712" i="6"/>
  <c r="D726" i="6"/>
  <c r="D739" i="6"/>
  <c r="D753" i="6"/>
  <c r="D766" i="6"/>
  <c r="D780" i="6"/>
  <c r="D793" i="6"/>
  <c r="D798" i="6"/>
  <c r="D807" i="6"/>
  <c r="D816" i="6"/>
  <c r="D825" i="6"/>
  <c r="D834" i="6"/>
  <c r="D840" i="6"/>
  <c r="D843" i="6"/>
  <c r="D849" i="6"/>
  <c r="D852" i="6"/>
  <c r="D858" i="6"/>
  <c r="D604" i="6"/>
  <c r="D613" i="6"/>
  <c r="D627" i="6"/>
  <c r="D634" i="6"/>
  <c r="D640" i="6"/>
  <c r="D654" i="6"/>
  <c r="D661" i="6"/>
  <c r="D667" i="6"/>
  <c r="D681" i="6"/>
  <c r="D688" i="6"/>
  <c r="D694" i="6"/>
  <c r="D703" i="6"/>
  <c r="D717" i="6"/>
  <c r="D730" i="6"/>
  <c r="D744" i="6"/>
  <c r="D757" i="6"/>
  <c r="D771" i="6"/>
  <c r="D784" i="6"/>
  <c r="D610" i="6"/>
  <c r="D616" i="6"/>
  <c r="D622" i="6"/>
  <c r="D636" i="6"/>
  <c r="D643" i="6"/>
  <c r="D649" i="6"/>
  <c r="D663" i="6"/>
  <c r="D670" i="6"/>
  <c r="D676" i="6"/>
  <c r="D690" i="6"/>
  <c r="D697" i="6"/>
  <c r="D708" i="6"/>
  <c r="D721" i="6"/>
  <c r="D735" i="6"/>
  <c r="D748" i="6"/>
  <c r="D762" i="6"/>
  <c r="D775" i="6"/>
  <c r="D789" i="6"/>
  <c r="D706" i="6"/>
  <c r="D715" i="6"/>
  <c r="D724" i="6"/>
  <c r="D733" i="6"/>
  <c r="D742" i="6"/>
  <c r="D751" i="6"/>
  <c r="D760" i="6"/>
  <c r="D769" i="6"/>
  <c r="D778" i="6"/>
  <c r="D787" i="6"/>
  <c r="D796" i="6"/>
  <c r="D805" i="6"/>
  <c r="D814" i="6"/>
  <c r="D823" i="6"/>
  <c r="D832" i="6"/>
  <c r="D841" i="6"/>
  <c r="D850" i="6"/>
  <c r="D859" i="6"/>
  <c r="D802" i="6"/>
  <c r="D811" i="6"/>
  <c r="D820" i="6"/>
  <c r="D829" i="6"/>
  <c r="D838" i="6"/>
  <c r="D847" i="6"/>
  <c r="D856" i="6"/>
  <c r="D619" i="6"/>
  <c r="D628" i="6"/>
  <c r="D637" i="6"/>
  <c r="D646" i="6"/>
  <c r="D655" i="6"/>
  <c r="D664" i="6"/>
  <c r="D673" i="6"/>
  <c r="D682" i="6"/>
  <c r="D691" i="6"/>
  <c r="D700" i="6"/>
  <c r="D709" i="6"/>
  <c r="D718" i="6"/>
  <c r="D727" i="6"/>
  <c r="D736" i="6"/>
  <c r="D745" i="6"/>
  <c r="D754" i="6"/>
  <c r="D763" i="6"/>
  <c r="D772" i="6"/>
  <c r="D781" i="6"/>
  <c r="D790" i="6"/>
  <c r="D799" i="6"/>
  <c r="D808" i="6"/>
  <c r="D817" i="6"/>
  <c r="D826" i="6"/>
  <c r="D835" i="6"/>
  <c r="D844" i="6"/>
  <c r="D853" i="6"/>
  <c r="G74" i="7"/>
  <c r="D45" i="8" s="1"/>
  <c r="G65" i="7"/>
  <c r="D36" i="8" s="1"/>
  <c r="G61" i="7"/>
  <c r="D32" i="8" s="1"/>
  <c r="G57" i="7"/>
  <c r="D28" i="8" s="1"/>
  <c r="G49" i="7"/>
  <c r="D20" i="8" s="1"/>
  <c r="G37" i="7"/>
  <c r="D8" i="8" s="1"/>
  <c r="D31" i="7"/>
  <c r="F10" i="7"/>
  <c r="G31" i="7"/>
  <c r="D2" i="8" s="1"/>
  <c r="G32" i="7"/>
  <c r="D3" i="8" s="1"/>
  <c r="G33" i="7"/>
  <c r="D4" i="8" s="1"/>
  <c r="G34" i="7"/>
  <c r="D5" i="8" s="1"/>
  <c r="G35" i="7"/>
  <c r="D6" i="8" s="1"/>
  <c r="G36" i="7"/>
  <c r="D7" i="8" s="1"/>
  <c r="G38" i="7"/>
  <c r="D9" i="8" s="1"/>
  <c r="G39" i="7"/>
  <c r="D10" i="8" s="1"/>
  <c r="G40" i="7"/>
  <c r="D11" i="8" s="1"/>
  <c r="G41" i="7"/>
  <c r="D12" i="8" s="1"/>
  <c r="G42" i="7"/>
  <c r="D13" i="8" s="1"/>
  <c r="G43" i="7"/>
  <c r="D14" i="8" s="1"/>
  <c r="G44" i="7"/>
  <c r="D15" i="8" s="1"/>
  <c r="G45" i="7"/>
  <c r="D16" i="8" s="1"/>
  <c r="G46" i="7"/>
  <c r="D17" i="8" s="1"/>
  <c r="G47" i="7"/>
  <c r="D18" i="8" s="1"/>
  <c r="G48" i="7"/>
  <c r="D19" i="8" s="1"/>
  <c r="G50" i="7"/>
  <c r="D21" i="8" s="1"/>
  <c r="G51" i="7"/>
  <c r="D22" i="8" s="1"/>
  <c r="G52" i="7"/>
  <c r="D23" i="8" s="1"/>
  <c r="G53" i="7"/>
  <c r="D24" i="8" s="1"/>
  <c r="G54" i="7"/>
  <c r="D25" i="8" s="1"/>
  <c r="G55" i="7"/>
  <c r="D26" i="8" s="1"/>
  <c r="G56" i="7"/>
  <c r="D27" i="8" s="1"/>
  <c r="G58" i="7"/>
  <c r="D29" i="8" s="1"/>
  <c r="G59" i="7"/>
  <c r="D30" i="8" s="1"/>
  <c r="G60" i="7"/>
  <c r="D31" i="8" s="1"/>
  <c r="G62" i="7"/>
  <c r="D33" i="8" s="1"/>
  <c r="G63" i="7"/>
  <c r="D34" i="8" s="1"/>
  <c r="G64" i="7"/>
  <c r="D35" i="8" s="1"/>
  <c r="G66" i="7"/>
  <c r="D37" i="8" s="1"/>
  <c r="G67" i="7"/>
  <c r="D38" i="8" s="1"/>
  <c r="G68" i="7"/>
  <c r="D39" i="8" s="1"/>
  <c r="G69" i="7"/>
  <c r="D40" i="8" s="1"/>
  <c r="G70" i="7"/>
  <c r="D41" i="8" s="1"/>
  <c r="G71" i="7"/>
  <c r="D42" i="8" s="1"/>
  <c r="G73" i="7"/>
  <c r="D44" i="8" s="1"/>
  <c r="M15" i="9" l="1"/>
  <c r="M16" i="9"/>
  <c r="M17" i="9" s="1"/>
  <c r="M19" i="9" s="1"/>
  <c r="M20" i="9" s="1"/>
  <c r="K15" i="9"/>
  <c r="K16" i="9"/>
  <c r="K17" i="9" s="1"/>
  <c r="K19" i="9" s="1"/>
  <c r="K20" i="9" s="1"/>
  <c r="I15" i="9"/>
  <c r="I16" i="9"/>
  <c r="I17" i="9" s="1"/>
  <c r="I19" i="9" s="1"/>
  <c r="I20" i="9" s="1"/>
  <c r="G15" i="9"/>
  <c r="G16" i="9"/>
  <c r="G17" i="9" s="1"/>
  <c r="G19" i="9" s="1"/>
  <c r="G20" i="9" s="1"/>
  <c r="F22" i="9"/>
  <c r="F23" i="9" s="1"/>
  <c r="E16" i="10"/>
  <c r="E15" i="10"/>
  <c r="F16" i="10"/>
  <c r="F15" i="10"/>
  <c r="G16" i="10"/>
  <c r="G15" i="10"/>
  <c r="H16" i="10"/>
  <c r="H15" i="10"/>
  <c r="I16" i="10"/>
  <c r="I15" i="10"/>
  <c r="J16" i="10"/>
  <c r="J15" i="10"/>
  <c r="K16" i="10"/>
  <c r="K15" i="10"/>
  <c r="L16" i="10"/>
  <c r="L15" i="10"/>
  <c r="M16" i="10"/>
  <c r="M15" i="10"/>
  <c r="N16" i="10"/>
  <c r="N15" i="10"/>
  <c r="E15" i="9"/>
  <c r="D10" i="7"/>
  <c r="E10" i="7"/>
  <c r="D10" i="6"/>
  <c r="U9" i="3"/>
  <c r="T9" i="3"/>
  <c r="C10" i="7"/>
  <c r="D11" i="6" a="1"/>
  <c r="D11" i="6" s="1"/>
  <c r="E11" i="6" a="1"/>
  <c r="E11" i="6" s="1"/>
  <c r="C10" i="6"/>
  <c r="F11" i="6" a="1"/>
  <c r="F11" i="6" s="1"/>
  <c r="C11" i="6" a="1"/>
  <c r="C11" i="6" s="1"/>
  <c r="F11" i="7" a="1"/>
  <c r="F11" i="7"/>
  <c r="E11" i="7" a="1"/>
  <c r="E11" i="7"/>
  <c r="D11" i="7" a="1"/>
  <c r="D11" i="7"/>
  <c r="C11" i="7" a="1"/>
  <c r="C11" i="7"/>
  <c r="N17" i="10" l="1"/>
  <c r="M17" i="10"/>
  <c r="L17" i="10"/>
  <c r="K17" i="10"/>
  <c r="J17" i="10"/>
  <c r="I17" i="10"/>
  <c r="H17" i="10"/>
  <c r="G17" i="10"/>
  <c r="F17" i="10"/>
  <c r="E17" i="10"/>
  <c r="F19" i="10" l="1"/>
  <c r="F20" i="10" s="1"/>
  <c r="G19" i="10"/>
  <c r="G20" i="10" s="1"/>
  <c r="H19" i="10"/>
  <c r="H20" i="10" s="1"/>
  <c r="I19" i="10"/>
  <c r="I20" i="10" s="1"/>
  <c r="J19" i="10"/>
  <c r="J20" i="10" s="1"/>
  <c r="K19" i="10"/>
  <c r="K20" i="10" s="1"/>
  <c r="L19" i="10"/>
  <c r="L20" i="10" s="1"/>
  <c r="M19" i="10"/>
  <c r="M20" i="10" s="1"/>
  <c r="N19" i="10"/>
  <c r="N20" i="10" s="1"/>
  <c r="F22" i="10" l="1"/>
  <c r="F23" i="10" s="1"/>
</calcChain>
</file>

<file path=xl/sharedStrings.xml><?xml version="1.0" encoding="utf-8"?>
<sst xmlns="http://schemas.openxmlformats.org/spreadsheetml/2006/main" count="3467" uniqueCount="327">
  <si>
    <t>Date</t>
  </si>
  <si>
    <t>Time</t>
  </si>
  <si>
    <t>Row</t>
  </si>
  <si>
    <t>Identifier 1</t>
  </si>
  <si>
    <t>Identifier 2</t>
  </si>
  <si>
    <t>Amount</t>
  </si>
  <si>
    <t>Comment</t>
  </si>
  <si>
    <t>Peak Nr</t>
  </si>
  <si>
    <t>Ampl  2</t>
  </si>
  <si>
    <t>Area 2</t>
  </si>
  <si>
    <t>Ampl  3</t>
  </si>
  <si>
    <t>Area 3</t>
  </si>
  <si>
    <t>R 3H2/2H2</t>
  </si>
  <si>
    <t>d 3H2/2H2</t>
  </si>
  <si>
    <t>04/20/26</t>
  </si>
  <si>
    <t>18:12:58</t>
  </si>
  <si>
    <t>Mar</t>
  </si>
  <si>
    <t>18:21:59</t>
  </si>
  <si>
    <t>18:31:01</t>
  </si>
  <si>
    <t>18:40:03</t>
  </si>
  <si>
    <t>Buenos Aires</t>
  </si>
  <si>
    <t>18:49:04</t>
  </si>
  <si>
    <t>18:58:05</t>
  </si>
  <si>
    <t>19:07:07</t>
  </si>
  <si>
    <t>Mendoza</t>
  </si>
  <si>
    <t>19:16:09</t>
  </si>
  <si>
    <t>19:25:10</t>
  </si>
  <si>
    <t>19:34:12</t>
  </si>
  <si>
    <t>Antartida</t>
  </si>
  <si>
    <t>19:43:13</t>
  </si>
  <si>
    <t>19:52:15</t>
  </si>
  <si>
    <t>20:01:16</t>
  </si>
  <si>
    <t>A017</t>
  </si>
  <si>
    <t>20:10:18</t>
  </si>
  <si>
    <t>20:19:19</t>
  </si>
  <si>
    <t>A018</t>
  </si>
  <si>
    <t>20:28:20</t>
  </si>
  <si>
    <t>20:37:22</t>
  </si>
  <si>
    <t>A019</t>
  </si>
  <si>
    <t>20:46:24</t>
  </si>
  <si>
    <t>20:55:25</t>
  </si>
  <si>
    <t>A020</t>
  </si>
  <si>
    <t>21:04:26</t>
  </si>
  <si>
    <t>21:13:28</t>
  </si>
  <si>
    <t>A021</t>
  </si>
  <si>
    <t>21:22:29</t>
  </si>
  <si>
    <t>21:31:31</t>
  </si>
  <si>
    <t>21:40:32</t>
  </si>
  <si>
    <t>21:49:34</t>
  </si>
  <si>
    <t>A022</t>
  </si>
  <si>
    <t>21:58:35</t>
  </si>
  <si>
    <t>22:07:36</t>
  </si>
  <si>
    <t>A023</t>
  </si>
  <si>
    <t>22:16:38</t>
  </si>
  <si>
    <t>22:25:39</t>
  </si>
  <si>
    <t>A024</t>
  </si>
  <si>
    <t>22:34:41</t>
  </si>
  <si>
    <t>22:43:42</t>
  </si>
  <si>
    <t>A025</t>
  </si>
  <si>
    <t>22:52:44</t>
  </si>
  <si>
    <t>23:01:45</t>
  </si>
  <si>
    <t>A026</t>
  </si>
  <si>
    <t>23:10:47</t>
  </si>
  <si>
    <t>23:19:48</t>
  </si>
  <si>
    <t>23:28:50</t>
  </si>
  <si>
    <t>23:37:51</t>
  </si>
  <si>
    <t>A027</t>
  </si>
  <si>
    <t>23:46:53</t>
  </si>
  <si>
    <t>23:55:55</t>
  </si>
  <si>
    <t>A028</t>
  </si>
  <si>
    <t>04/21/26</t>
  </si>
  <si>
    <t>00:04:56</t>
  </si>
  <si>
    <t>00:13:57</t>
  </si>
  <si>
    <t>A029</t>
  </si>
  <si>
    <t>00:22:59</t>
  </si>
  <si>
    <t>00:32:00</t>
  </si>
  <si>
    <t>A030</t>
  </si>
  <si>
    <t>00:41:02</t>
  </si>
  <si>
    <t>00:50:03</t>
  </si>
  <si>
    <t>A031</t>
  </si>
  <si>
    <t>00:59:05</t>
  </si>
  <si>
    <t>01:08:06</t>
  </si>
  <si>
    <t>01:17:08</t>
  </si>
  <si>
    <t>01:26:09</t>
  </si>
  <si>
    <t>A032</t>
  </si>
  <si>
    <t>01:35:11</t>
  </si>
  <si>
    <t>01:44:13</t>
  </si>
  <si>
    <t>A033</t>
  </si>
  <si>
    <t>01:53:15</t>
  </si>
  <si>
    <t>02:02:16</t>
  </si>
  <si>
    <t>A034</t>
  </si>
  <si>
    <t>02:11:18</t>
  </si>
  <si>
    <t>02:20:19</t>
  </si>
  <si>
    <t>A035</t>
  </si>
  <si>
    <t>02:29:21</t>
  </si>
  <si>
    <t>02:38:22</t>
  </si>
  <si>
    <t>A036</t>
  </si>
  <si>
    <t>02:47:24</t>
  </si>
  <si>
    <t>02:56:25</t>
  </si>
  <si>
    <t>03:05:27</t>
  </si>
  <si>
    <t>03:14:28</t>
  </si>
  <si>
    <t>A037</t>
  </si>
  <si>
    <t>03:23:30</t>
  </si>
  <si>
    <t>03:32:32</t>
  </si>
  <si>
    <t>A038</t>
  </si>
  <si>
    <t>03:41:33</t>
  </si>
  <si>
    <t>03:50:35</t>
  </si>
  <si>
    <t>A039</t>
  </si>
  <si>
    <t>03:59:36</t>
  </si>
  <si>
    <t>04:08:38</t>
  </si>
  <si>
    <t>A040</t>
  </si>
  <si>
    <t>04:17:39</t>
  </si>
  <si>
    <t>04:26:41</t>
  </si>
  <si>
    <t>A041</t>
  </si>
  <si>
    <t>04:35:42</t>
  </si>
  <si>
    <t>04:44:44</t>
  </si>
  <si>
    <t>04:53:45</t>
  </si>
  <si>
    <t>05:02:47</t>
  </si>
  <si>
    <t>A042</t>
  </si>
  <si>
    <t>05:11:48</t>
  </si>
  <si>
    <t>05:20:50</t>
  </si>
  <si>
    <t>A043</t>
  </si>
  <si>
    <t>05:29:51</t>
  </si>
  <si>
    <t>05:38:53</t>
  </si>
  <si>
    <t>A044</t>
  </si>
  <si>
    <t>05:47:54</t>
  </si>
  <si>
    <t>05:56:56</t>
  </si>
  <si>
    <t>A045</t>
  </si>
  <si>
    <t>06:05:57</t>
  </si>
  <si>
    <t>06:14:59</t>
  </si>
  <si>
    <t>A046</t>
  </si>
  <si>
    <t>06:24:00</t>
  </si>
  <si>
    <t>06:33:01</t>
  </si>
  <si>
    <t>06:42:03</t>
  </si>
  <si>
    <t>06:51:05</t>
  </si>
  <si>
    <t>A047</t>
  </si>
  <si>
    <t>07:00:06</t>
  </si>
  <si>
    <t>07:09:07</t>
  </si>
  <si>
    <t>A048</t>
  </si>
  <si>
    <t>07:18:09</t>
  </si>
  <si>
    <t>07:27:10</t>
  </si>
  <si>
    <t>A049</t>
  </si>
  <si>
    <t>07:36:12</t>
  </si>
  <si>
    <t>07:45:13</t>
  </si>
  <si>
    <t>A050</t>
  </si>
  <si>
    <t>07:54:15</t>
  </si>
  <si>
    <t>08:03:16</t>
  </si>
  <si>
    <t>A051</t>
  </si>
  <si>
    <t>08:12:18</t>
  </si>
  <si>
    <t>08:21:19</t>
  </si>
  <si>
    <t>08:30:21</t>
  </si>
  <si>
    <t>08:46:09</t>
  </si>
  <si>
    <t>A052</t>
  </si>
  <si>
    <t>08:55:10</t>
  </si>
  <si>
    <t>09:04:12</t>
  </si>
  <si>
    <t>A053</t>
  </si>
  <si>
    <t>09:13:13</t>
  </si>
  <si>
    <t>09:22:15</t>
  </si>
  <si>
    <t>A054</t>
  </si>
  <si>
    <t>09:31:16</t>
  </si>
  <si>
    <t>09:40:18</t>
  </si>
  <si>
    <t>A055</t>
  </si>
  <si>
    <t>09:49:19</t>
  </si>
  <si>
    <t>09:58:21</t>
  </si>
  <si>
    <t>A056</t>
  </si>
  <si>
    <t>10:07:22</t>
  </si>
  <si>
    <t>10:16:24</t>
  </si>
  <si>
    <t>10:25:25</t>
  </si>
  <si>
    <t>10:34:27</t>
  </si>
  <si>
    <t>A057</t>
  </si>
  <si>
    <t>10:43:28</t>
  </si>
  <si>
    <t>10:52:30</t>
  </si>
  <si>
    <t>A003</t>
  </si>
  <si>
    <t>11:01:31</t>
  </si>
  <si>
    <t>11:10:33</t>
  </si>
  <si>
    <t>A016</t>
  </si>
  <si>
    <t>11:19:34</t>
  </si>
  <si>
    <t>11:28:36</t>
  </si>
  <si>
    <t>11:37:37</t>
  </si>
  <si>
    <t>11:46:39</t>
  </si>
  <si>
    <t>11:55:40</t>
  </si>
  <si>
    <t>12:04:42</t>
  </si>
  <si>
    <t>12:13:44</t>
  </si>
  <si>
    <t>12:22:45</t>
  </si>
  <si>
    <t>12:31:47</t>
  </si>
  <si>
    <t>12:40:48</t>
  </si>
  <si>
    <t>12:49:50</t>
  </si>
  <si>
    <t>12:58:52</t>
  </si>
  <si>
    <t>13:07:53</t>
  </si>
  <si>
    <t>Ampl  28</t>
  </si>
  <si>
    <t>Ampl  29</t>
  </si>
  <si>
    <t>Ampl  30</t>
  </si>
  <si>
    <t>Area 28</t>
  </si>
  <si>
    <t>Area 29</t>
  </si>
  <si>
    <t>Area 30</t>
  </si>
  <si>
    <t>R 18O/16O</t>
  </si>
  <si>
    <t>d 18O/16O</t>
  </si>
  <si>
    <t>STD</t>
  </si>
  <si>
    <t xml:space="preserve">2H </t>
  </si>
  <si>
    <t>m</t>
  </si>
  <si>
    <t>b</t>
  </si>
  <si>
    <t>d2H raw</t>
  </si>
  <si>
    <t>d18O raw</t>
  </si>
  <si>
    <t>S_m</t>
  </si>
  <si>
    <t>S_b</t>
  </si>
  <si>
    <t>R2</t>
  </si>
  <si>
    <t>se_v</t>
  </si>
  <si>
    <t>F</t>
  </si>
  <si>
    <t>df</t>
  </si>
  <si>
    <t>SS_reg</t>
  </si>
  <si>
    <t>SS_resid</t>
  </si>
  <si>
    <t>m (CI)</t>
  </si>
  <si>
    <t>18O</t>
  </si>
  <si>
    <t>MEAN</t>
  </si>
  <si>
    <t>SD</t>
  </si>
  <si>
    <t>Estadistica descriptiva mat de referencia in-house</t>
  </si>
  <si>
    <t>!COPIAR A MANO LOS VALORES PARA NORMALIZAR</t>
  </si>
  <si>
    <t>MATERIAL</t>
  </si>
  <si>
    <t>2H raw</t>
  </si>
  <si>
    <t>2H ref</t>
  </si>
  <si>
    <t>RAW</t>
  </si>
  <si>
    <t>N</t>
  </si>
  <si>
    <t>REFERENCIA</t>
  </si>
  <si>
    <t>NORM</t>
  </si>
  <si>
    <t>2H normalizado</t>
  </si>
  <si>
    <t>IDENTIFICACION</t>
  </si>
  <si>
    <t>18O normalizado</t>
  </si>
  <si>
    <t xml:space="preserve">18O </t>
  </si>
  <si>
    <t>ID</t>
  </si>
  <si>
    <t>Nombre</t>
  </si>
  <si>
    <t>Muestra</t>
  </si>
  <si>
    <r>
      <t>δ</t>
    </r>
    <r>
      <rPr>
        <b/>
        <vertAlign val="superscript"/>
        <sz val="10"/>
        <color rgb="FF000000"/>
        <rFont val="Segoe UI"/>
      </rPr>
      <t>2</t>
    </r>
    <r>
      <rPr>
        <b/>
        <sz val="10"/>
        <color rgb="FF000000"/>
        <rFont val="Segoe UI"/>
      </rPr>
      <t>H (‰)</t>
    </r>
    <r>
      <rPr>
        <b/>
        <vertAlign val="superscript"/>
        <sz val="10"/>
        <color rgb="FF000000"/>
        <rFont val="Segoe UI"/>
      </rPr>
      <t>a</t>
    </r>
  </si>
  <si>
    <r>
      <t>u</t>
    </r>
    <r>
      <rPr>
        <b/>
        <vertAlign val="subscript"/>
        <sz val="10"/>
        <color rgb="FF000000"/>
        <rFont val="Segoe UI"/>
      </rPr>
      <t>c</t>
    </r>
    <r>
      <rPr>
        <b/>
        <sz val="10"/>
        <color rgb="FF000000"/>
        <rFont val="Segoe UI"/>
      </rPr>
      <t xml:space="preserve"> (1σ)</t>
    </r>
    <r>
      <rPr>
        <b/>
        <vertAlign val="superscript"/>
        <sz val="10"/>
        <color rgb="FF000000"/>
        <rFont val="Segoe UI"/>
      </rPr>
      <t>b</t>
    </r>
  </si>
  <si>
    <r>
      <t>δ</t>
    </r>
    <r>
      <rPr>
        <b/>
        <vertAlign val="superscript"/>
        <sz val="10"/>
        <color rgb="FF000000"/>
        <rFont val="Segoe UI"/>
      </rPr>
      <t>18</t>
    </r>
    <r>
      <rPr>
        <b/>
        <sz val="10"/>
        <color rgb="FF000000"/>
        <rFont val="Segoe UI"/>
      </rPr>
      <t>O (‰)</t>
    </r>
    <r>
      <rPr>
        <b/>
        <vertAlign val="superscript"/>
        <sz val="10"/>
        <color rgb="FF000000"/>
        <rFont val="Segoe UI"/>
      </rPr>
      <t>a</t>
    </r>
  </si>
  <si>
    <t>fuente</t>
  </si>
  <si>
    <t xml:space="preserve">SEGOE UI </t>
  </si>
  <si>
    <t>10 pts</t>
  </si>
  <si>
    <t>se ve bien el simbolo de partpermille</t>
  </si>
  <si>
    <t>para datos</t>
  </si>
  <si>
    <t>LP-May-19</t>
  </si>
  <si>
    <t>Cambria</t>
  </si>
  <si>
    <t>11 pts</t>
  </si>
  <si>
    <t>para texto</t>
  </si>
  <si>
    <t>LP-Jun-19</t>
  </si>
  <si>
    <t>LP-Sep-19</t>
  </si>
  <si>
    <t>LP-Nov-19</t>
  </si>
  <si>
    <t>LP-Dic-19</t>
  </si>
  <si>
    <t>LP-May-20</t>
  </si>
  <si>
    <t>  * (a) Valores reportados en la escala VSMOW2-SLAP2.</t>
  </si>
  <si>
    <t>LP-Jun-20</t>
  </si>
  <si>
    <t>  * (b) Incertidumbre estándar combinada calculada mediante el método de Kragten.</t>
  </si>
  <si>
    <t>LP-Jul-20</t>
  </si>
  <si>
    <t>LP-Nov-20</t>
  </si>
  <si>
    <t>LP-Dic-20</t>
  </si>
  <si>
    <t>LP-Nov-21</t>
  </si>
  <si>
    <t>LP-Mar-23</t>
  </si>
  <si>
    <t>LP-Abr-23</t>
  </si>
  <si>
    <t>LP-May-23</t>
  </si>
  <si>
    <t>LP-Jul-23</t>
  </si>
  <si>
    <t>LP-Ago-23</t>
  </si>
  <si>
    <t>LP-Oct-23</t>
  </si>
  <si>
    <t>LP-Nov-23</t>
  </si>
  <si>
    <t>LP-Dic-23</t>
  </si>
  <si>
    <t>LP-Ene-24</t>
  </si>
  <si>
    <t>LP-Feb-24</t>
  </si>
  <si>
    <t>LP-Mar-24</t>
  </si>
  <si>
    <t>LP-Abr-24</t>
  </si>
  <si>
    <t>LP-May-24</t>
  </si>
  <si>
    <t>LP-Ago-24</t>
  </si>
  <si>
    <t>LP-Oct-24</t>
  </si>
  <si>
    <t>LP-Nov-24</t>
  </si>
  <si>
    <t>LP-Dic-24</t>
  </si>
  <si>
    <t>LP-Ene-25</t>
  </si>
  <si>
    <t>LP-Feb-25</t>
  </si>
  <si>
    <t>LP-Mar-25</t>
  </si>
  <si>
    <t>LP-Abr-25</t>
  </si>
  <si>
    <t>LP-May-25</t>
  </si>
  <si>
    <t>LP-Jun-25</t>
  </si>
  <si>
    <t>LP-Jul-25</t>
  </si>
  <si>
    <t>LP-Ago-25</t>
  </si>
  <si>
    <t>LP-Sep-25</t>
  </si>
  <si>
    <t>LP-Oct-25</t>
  </si>
  <si>
    <t>LP-Nov-25</t>
  </si>
  <si>
    <t>LP-Dic-25</t>
  </si>
  <si>
    <t>LP-Ene-26</t>
  </si>
  <si>
    <t>DEFINICION DE VARIABLES</t>
  </si>
  <si>
    <t>MATRIZ DE PERTURBACION</t>
  </si>
  <si>
    <t>DESCRIPCION</t>
  </si>
  <si>
    <t>SIMBOLO</t>
  </si>
  <si>
    <t>VALOR NOMINAL</t>
  </si>
  <si>
    <t>INCERT ESTANDAR</t>
  </si>
  <si>
    <t>CASO BASE</t>
  </si>
  <si>
    <t>PERT mar_a</t>
  </si>
  <si>
    <t>PERT mar_m</t>
  </si>
  <si>
    <t>PERT bsas_a</t>
  </si>
  <si>
    <t>PERT bsas_m</t>
  </si>
  <si>
    <t>PERT mdza_a</t>
  </si>
  <si>
    <t>PERT mdza_m</t>
  </si>
  <si>
    <t>PERT antartida_a</t>
  </si>
  <si>
    <t>PERT antartida_m</t>
  </si>
  <si>
    <t>PERT muestra</t>
  </si>
  <si>
    <t>asignado MAR</t>
  </si>
  <si>
    <t>mar_a</t>
  </si>
  <si>
    <t>medido MAR</t>
  </si>
  <si>
    <t>mar_m</t>
  </si>
  <si>
    <t>asignado BSAS</t>
  </si>
  <si>
    <t>bsas_a</t>
  </si>
  <si>
    <t>medido BSAS</t>
  </si>
  <si>
    <t>bsas_m</t>
  </si>
  <si>
    <t>asignado MDZA</t>
  </si>
  <si>
    <t>mdza_a</t>
  </si>
  <si>
    <t>medido MDZA</t>
  </si>
  <si>
    <t>mdza_m</t>
  </si>
  <si>
    <t>asignado ANTARTIDA</t>
  </si>
  <si>
    <t>antartida_a</t>
  </si>
  <si>
    <t>medido ANTARTIDA</t>
  </si>
  <si>
    <t>antartida_m</t>
  </si>
  <si>
    <t>medido MUESTRA</t>
  </si>
  <si>
    <t>muestra</t>
  </si>
  <si>
    <t>CALCULOS</t>
  </si>
  <si>
    <t>Pendiente</t>
  </si>
  <si>
    <t>Interseccion</t>
  </si>
  <si>
    <t>Resultado perturbado</t>
  </si>
  <si>
    <t>DIF caso base</t>
  </si>
  <si>
    <t>VAR est</t>
  </si>
  <si>
    <t xml:space="preserve"> VAR COMB</t>
  </si>
  <si>
    <t>u_c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</si>
</sst>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">
    <font>
      <sz val="10"/>
      <name val="MS Sans Serif"/>
    </font>
    <font>
      <b/>
      <sz val="10"/>
      <name val="MS Sans Serif"/>
    </font>
    <font>
      <sz val="10"/>
      <name val="Segoe UI"/>
    </font>
    <font>
      <sz val="11"/>
      <name val="Cambria"/>
    </font>
    <font>
      <b/>
      <sz val="10"/>
      <name val="Segoe UI"/>
    </font>
    <font>
      <b/>
      <sz val="10"/>
      <color rgb="FF000000"/>
      <name val="Segoe UI"/>
    </font>
    <font>
      <b/>
      <vertAlign val="superscript"/>
      <sz val="10"/>
      <color rgb="FF000000"/>
      <name val="Segoe UI"/>
    </font>
    <font>
      <b/>
      <vertAlign val="subscript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'2H.wke'!$C$13:$C$361</c:f>
              <c:numCache>
                <c:formatCode>General</c:formatCode>
                <c:ptCount val="349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42</c:v>
                </c:pt>
                <c:pt idx="113">
                  <c:v>42</c:v>
                </c:pt>
                <c:pt idx="114">
                  <c:v>42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46</c:v>
                </c:pt>
                <c:pt idx="125">
                  <c:v>46</c:v>
                </c:pt>
                <c:pt idx="126">
                  <c:v>46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54</c:v>
                </c:pt>
                <c:pt idx="149">
                  <c:v>54</c:v>
                </c:pt>
                <c:pt idx="150">
                  <c:v>54</c:v>
                </c:pt>
                <c:pt idx="151">
                  <c:v>55</c:v>
                </c:pt>
                <c:pt idx="152">
                  <c:v>55</c:v>
                </c:pt>
                <c:pt idx="153">
                  <c:v>55</c:v>
                </c:pt>
                <c:pt idx="154">
                  <c:v>56</c:v>
                </c:pt>
                <c:pt idx="155">
                  <c:v>56</c:v>
                </c:pt>
                <c:pt idx="156">
                  <c:v>56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58</c:v>
                </c:pt>
                <c:pt idx="161">
                  <c:v>58</c:v>
                </c:pt>
                <c:pt idx="162">
                  <c:v>58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61</c:v>
                </c:pt>
                <c:pt idx="170">
                  <c:v>61</c:v>
                </c:pt>
                <c:pt idx="171">
                  <c:v>61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64</c:v>
                </c:pt>
                <c:pt idx="179">
                  <c:v>64</c:v>
                </c:pt>
                <c:pt idx="180">
                  <c:v>64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66</c:v>
                </c:pt>
                <c:pt idx="185">
                  <c:v>66</c:v>
                </c:pt>
                <c:pt idx="186">
                  <c:v>66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69</c:v>
                </c:pt>
                <c:pt idx="194">
                  <c:v>69</c:v>
                </c:pt>
                <c:pt idx="195">
                  <c:v>69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71</c:v>
                </c:pt>
                <c:pt idx="200">
                  <c:v>71</c:v>
                </c:pt>
                <c:pt idx="201">
                  <c:v>71</c:v>
                </c:pt>
                <c:pt idx="202">
                  <c:v>72</c:v>
                </c:pt>
                <c:pt idx="203">
                  <c:v>72</c:v>
                </c:pt>
                <c:pt idx="204">
                  <c:v>72</c:v>
                </c:pt>
                <c:pt idx="205">
                  <c:v>73</c:v>
                </c:pt>
                <c:pt idx="206">
                  <c:v>73</c:v>
                </c:pt>
                <c:pt idx="207">
                  <c:v>73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76</c:v>
                </c:pt>
                <c:pt idx="215">
                  <c:v>76</c:v>
                </c:pt>
                <c:pt idx="216">
                  <c:v>76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78</c:v>
                </c:pt>
                <c:pt idx="221">
                  <c:v>78</c:v>
                </c:pt>
                <c:pt idx="222">
                  <c:v>78</c:v>
                </c:pt>
                <c:pt idx="223">
                  <c:v>79</c:v>
                </c:pt>
                <c:pt idx="224">
                  <c:v>79</c:v>
                </c:pt>
                <c:pt idx="225">
                  <c:v>79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82</c:v>
                </c:pt>
                <c:pt idx="233">
                  <c:v>82</c:v>
                </c:pt>
                <c:pt idx="234">
                  <c:v>82</c:v>
                </c:pt>
                <c:pt idx="235">
                  <c:v>83</c:v>
                </c:pt>
                <c:pt idx="236">
                  <c:v>83</c:v>
                </c:pt>
                <c:pt idx="237">
                  <c:v>83</c:v>
                </c:pt>
                <c:pt idx="238">
                  <c:v>84</c:v>
                </c:pt>
                <c:pt idx="239">
                  <c:v>84</c:v>
                </c:pt>
                <c:pt idx="240">
                  <c:v>84</c:v>
                </c:pt>
                <c:pt idx="241">
                  <c:v>85</c:v>
                </c:pt>
                <c:pt idx="242">
                  <c:v>85</c:v>
                </c:pt>
                <c:pt idx="243">
                  <c:v>85</c:v>
                </c:pt>
                <c:pt idx="244">
                  <c:v>86</c:v>
                </c:pt>
                <c:pt idx="245">
                  <c:v>86</c:v>
                </c:pt>
                <c:pt idx="246">
                  <c:v>86</c:v>
                </c:pt>
                <c:pt idx="247">
                  <c:v>87</c:v>
                </c:pt>
                <c:pt idx="248">
                  <c:v>87</c:v>
                </c:pt>
                <c:pt idx="249">
                  <c:v>87</c:v>
                </c:pt>
                <c:pt idx="250">
                  <c:v>88</c:v>
                </c:pt>
                <c:pt idx="251">
                  <c:v>88</c:v>
                </c:pt>
                <c:pt idx="252">
                  <c:v>88</c:v>
                </c:pt>
                <c:pt idx="253">
                  <c:v>89</c:v>
                </c:pt>
                <c:pt idx="254">
                  <c:v>89</c:v>
                </c:pt>
                <c:pt idx="255">
                  <c:v>89</c:v>
                </c:pt>
                <c:pt idx="256">
                  <c:v>90</c:v>
                </c:pt>
                <c:pt idx="257">
                  <c:v>90</c:v>
                </c:pt>
                <c:pt idx="258">
                  <c:v>90</c:v>
                </c:pt>
                <c:pt idx="259">
                  <c:v>91</c:v>
                </c:pt>
                <c:pt idx="260">
                  <c:v>91</c:v>
                </c:pt>
                <c:pt idx="261">
                  <c:v>91</c:v>
                </c:pt>
                <c:pt idx="262">
                  <c:v>92</c:v>
                </c:pt>
                <c:pt idx="263">
                  <c:v>92</c:v>
                </c:pt>
                <c:pt idx="264">
                  <c:v>92</c:v>
                </c:pt>
                <c:pt idx="265">
                  <c:v>93</c:v>
                </c:pt>
                <c:pt idx="266">
                  <c:v>93</c:v>
                </c:pt>
                <c:pt idx="267">
                  <c:v>93</c:v>
                </c:pt>
                <c:pt idx="268">
                  <c:v>94</c:v>
                </c:pt>
                <c:pt idx="269">
                  <c:v>94</c:v>
                </c:pt>
                <c:pt idx="270">
                  <c:v>94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96</c:v>
                </c:pt>
                <c:pt idx="275">
                  <c:v>96</c:v>
                </c:pt>
                <c:pt idx="276">
                  <c:v>96</c:v>
                </c:pt>
                <c:pt idx="277">
                  <c:v>97</c:v>
                </c:pt>
                <c:pt idx="278">
                  <c:v>97</c:v>
                </c:pt>
                <c:pt idx="279">
                  <c:v>97</c:v>
                </c:pt>
                <c:pt idx="280">
                  <c:v>98</c:v>
                </c:pt>
                <c:pt idx="281">
                  <c:v>98</c:v>
                </c:pt>
                <c:pt idx="282">
                  <c:v>98</c:v>
                </c:pt>
                <c:pt idx="283">
                  <c:v>99</c:v>
                </c:pt>
                <c:pt idx="284">
                  <c:v>99</c:v>
                </c:pt>
                <c:pt idx="285">
                  <c:v>99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101</c:v>
                </c:pt>
                <c:pt idx="290">
                  <c:v>101</c:v>
                </c:pt>
                <c:pt idx="291">
                  <c:v>101</c:v>
                </c:pt>
                <c:pt idx="292">
                  <c:v>102</c:v>
                </c:pt>
                <c:pt idx="293">
                  <c:v>102</c:v>
                </c:pt>
                <c:pt idx="294">
                  <c:v>102</c:v>
                </c:pt>
                <c:pt idx="295">
                  <c:v>103</c:v>
                </c:pt>
                <c:pt idx="296">
                  <c:v>103</c:v>
                </c:pt>
                <c:pt idx="297">
                  <c:v>103</c:v>
                </c:pt>
                <c:pt idx="298">
                  <c:v>104</c:v>
                </c:pt>
                <c:pt idx="299">
                  <c:v>104</c:v>
                </c:pt>
                <c:pt idx="300">
                  <c:v>104</c:v>
                </c:pt>
                <c:pt idx="301">
                  <c:v>105</c:v>
                </c:pt>
                <c:pt idx="302">
                  <c:v>105</c:v>
                </c:pt>
                <c:pt idx="303">
                  <c:v>105</c:v>
                </c:pt>
                <c:pt idx="304">
                  <c:v>106</c:v>
                </c:pt>
                <c:pt idx="305">
                  <c:v>106</c:v>
                </c:pt>
                <c:pt idx="306">
                  <c:v>106</c:v>
                </c:pt>
                <c:pt idx="307">
                  <c:v>107</c:v>
                </c:pt>
                <c:pt idx="308">
                  <c:v>107</c:v>
                </c:pt>
                <c:pt idx="309">
                  <c:v>107</c:v>
                </c:pt>
                <c:pt idx="310">
                  <c:v>108</c:v>
                </c:pt>
                <c:pt idx="311">
                  <c:v>108</c:v>
                </c:pt>
                <c:pt idx="312">
                  <c:v>108</c:v>
                </c:pt>
                <c:pt idx="313">
                  <c:v>109</c:v>
                </c:pt>
                <c:pt idx="314">
                  <c:v>109</c:v>
                </c:pt>
                <c:pt idx="315">
                  <c:v>109</c:v>
                </c:pt>
                <c:pt idx="316">
                  <c:v>110</c:v>
                </c:pt>
                <c:pt idx="317">
                  <c:v>110</c:v>
                </c:pt>
                <c:pt idx="318">
                  <c:v>110</c:v>
                </c:pt>
                <c:pt idx="319">
                  <c:v>111</c:v>
                </c:pt>
                <c:pt idx="320">
                  <c:v>111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112</c:v>
                </c:pt>
                <c:pt idx="325">
                  <c:v>113</c:v>
                </c:pt>
                <c:pt idx="326">
                  <c:v>113</c:v>
                </c:pt>
                <c:pt idx="327">
                  <c:v>113</c:v>
                </c:pt>
                <c:pt idx="328">
                  <c:v>114</c:v>
                </c:pt>
                <c:pt idx="329">
                  <c:v>114</c:v>
                </c:pt>
                <c:pt idx="330">
                  <c:v>114</c:v>
                </c:pt>
                <c:pt idx="331">
                  <c:v>115</c:v>
                </c:pt>
                <c:pt idx="332">
                  <c:v>115</c:v>
                </c:pt>
                <c:pt idx="333">
                  <c:v>115</c:v>
                </c:pt>
                <c:pt idx="334">
                  <c:v>116</c:v>
                </c:pt>
                <c:pt idx="335">
                  <c:v>116</c:v>
                </c:pt>
                <c:pt idx="336">
                  <c:v>116</c:v>
                </c:pt>
                <c:pt idx="337">
                  <c:v>117</c:v>
                </c:pt>
                <c:pt idx="338">
                  <c:v>117</c:v>
                </c:pt>
                <c:pt idx="339">
                  <c:v>117</c:v>
                </c:pt>
                <c:pt idx="340">
                  <c:v>118</c:v>
                </c:pt>
                <c:pt idx="341">
                  <c:v>118</c:v>
                </c:pt>
                <c:pt idx="342">
                  <c:v>118</c:v>
                </c:pt>
                <c:pt idx="343">
                  <c:v>119</c:v>
                </c:pt>
                <c:pt idx="344">
                  <c:v>119</c:v>
                </c:pt>
                <c:pt idx="345">
                  <c:v>119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</c:numCache>
            </c:numRef>
          </c:xVal>
          <c:yVal>
            <c:numRef>
              <c:f>'2H.wke'!$N$13:$N$361</c:f>
              <c:numCache>
                <c:formatCode>General</c:formatCode>
                <c:ptCount val="349"/>
                <c:pt idx="0">
                  <c:v>207.583</c:v>
                </c:pt>
                <c:pt idx="1">
                  <c:v>-0.752</c:v>
                </c:pt>
                <c:pt idx="2">
                  <c:v>0</c:v>
                </c:pt>
                <c:pt idx="3">
                  <c:v>209.739</c:v>
                </c:pt>
                <c:pt idx="4">
                  <c:v>-0.61299999999999999</c:v>
                </c:pt>
                <c:pt idx="5">
                  <c:v>0</c:v>
                </c:pt>
                <c:pt idx="6">
                  <c:v>207.52799999999999</c:v>
                </c:pt>
                <c:pt idx="7">
                  <c:v>0.34599999999999997</c:v>
                </c:pt>
                <c:pt idx="8">
                  <c:v>0</c:v>
                </c:pt>
                <c:pt idx="9">
                  <c:v>167.18199999999999</c:v>
                </c:pt>
                <c:pt idx="10">
                  <c:v>-1.1339999999999999</c:v>
                </c:pt>
                <c:pt idx="11">
                  <c:v>0</c:v>
                </c:pt>
                <c:pt idx="12">
                  <c:v>164.245</c:v>
                </c:pt>
                <c:pt idx="13">
                  <c:v>0.186</c:v>
                </c:pt>
                <c:pt idx="14">
                  <c:v>0</c:v>
                </c:pt>
                <c:pt idx="15">
                  <c:v>166.37100000000001</c:v>
                </c:pt>
                <c:pt idx="16">
                  <c:v>-0.19500000000000001</c:v>
                </c:pt>
                <c:pt idx="17">
                  <c:v>0</c:v>
                </c:pt>
                <c:pt idx="18">
                  <c:v>141.55099999999999</c:v>
                </c:pt>
                <c:pt idx="19">
                  <c:v>-1.5569999999999999</c:v>
                </c:pt>
                <c:pt idx="20">
                  <c:v>0</c:v>
                </c:pt>
                <c:pt idx="21">
                  <c:v>136.43899999999999</c:v>
                </c:pt>
                <c:pt idx="22">
                  <c:v>-0.83099999999999996</c:v>
                </c:pt>
                <c:pt idx="23">
                  <c:v>0</c:v>
                </c:pt>
                <c:pt idx="24">
                  <c:v>138.19499999999999</c:v>
                </c:pt>
                <c:pt idx="25">
                  <c:v>0.55700000000000005</c:v>
                </c:pt>
                <c:pt idx="26">
                  <c:v>0</c:v>
                </c:pt>
                <c:pt idx="27">
                  <c:v>138.33699999999999</c:v>
                </c:pt>
                <c:pt idx="28">
                  <c:v>0.09</c:v>
                </c:pt>
                <c:pt idx="29">
                  <c:v>0</c:v>
                </c:pt>
                <c:pt idx="30">
                  <c:v>139.227</c:v>
                </c:pt>
                <c:pt idx="31">
                  <c:v>-0.441</c:v>
                </c:pt>
                <c:pt idx="32">
                  <c:v>0</c:v>
                </c:pt>
                <c:pt idx="33">
                  <c:v>160.904</c:v>
                </c:pt>
                <c:pt idx="34">
                  <c:v>-0.224</c:v>
                </c:pt>
                <c:pt idx="35">
                  <c:v>0</c:v>
                </c:pt>
                <c:pt idx="36">
                  <c:v>163.23500000000001</c:v>
                </c:pt>
                <c:pt idx="37">
                  <c:v>-0.39</c:v>
                </c:pt>
                <c:pt idx="38">
                  <c:v>0</c:v>
                </c:pt>
                <c:pt idx="39">
                  <c:v>211.91399999999999</c:v>
                </c:pt>
                <c:pt idx="40">
                  <c:v>-0.99099999999999999</c:v>
                </c:pt>
                <c:pt idx="41">
                  <c:v>0</c:v>
                </c:pt>
                <c:pt idx="42">
                  <c:v>211.29300000000001</c:v>
                </c:pt>
                <c:pt idx="43">
                  <c:v>-1.119</c:v>
                </c:pt>
                <c:pt idx="44">
                  <c:v>0</c:v>
                </c:pt>
                <c:pt idx="45">
                  <c:v>235.43600000000001</c:v>
                </c:pt>
                <c:pt idx="46">
                  <c:v>-0.70799999999999996</c:v>
                </c:pt>
                <c:pt idx="47">
                  <c:v>0</c:v>
                </c:pt>
                <c:pt idx="48">
                  <c:v>236.018</c:v>
                </c:pt>
                <c:pt idx="49">
                  <c:v>0.42799999999999999</c:v>
                </c:pt>
                <c:pt idx="50">
                  <c:v>0</c:v>
                </c:pt>
                <c:pt idx="51">
                  <c:v>189.78299999999999</c:v>
                </c:pt>
                <c:pt idx="52">
                  <c:v>-0.995</c:v>
                </c:pt>
                <c:pt idx="53">
                  <c:v>0</c:v>
                </c:pt>
                <c:pt idx="54">
                  <c:v>188.40700000000001</c:v>
                </c:pt>
                <c:pt idx="55">
                  <c:v>0.629</c:v>
                </c:pt>
                <c:pt idx="56">
                  <c:v>0</c:v>
                </c:pt>
                <c:pt idx="57">
                  <c:v>204.577</c:v>
                </c:pt>
                <c:pt idx="58">
                  <c:v>0.92800000000000005</c:v>
                </c:pt>
                <c:pt idx="59">
                  <c:v>0</c:v>
                </c:pt>
                <c:pt idx="60">
                  <c:v>206.81100000000001</c:v>
                </c:pt>
                <c:pt idx="61">
                  <c:v>0.54300000000000004</c:v>
                </c:pt>
                <c:pt idx="62">
                  <c:v>0</c:v>
                </c:pt>
                <c:pt idx="63">
                  <c:v>163.22800000000001</c:v>
                </c:pt>
                <c:pt idx="64">
                  <c:v>-0.49199999999999999</c:v>
                </c:pt>
                <c:pt idx="65">
                  <c:v>0</c:v>
                </c:pt>
                <c:pt idx="66">
                  <c:v>159.066</c:v>
                </c:pt>
                <c:pt idx="67">
                  <c:v>0.24399999999999999</c:v>
                </c:pt>
                <c:pt idx="68">
                  <c:v>0</c:v>
                </c:pt>
                <c:pt idx="69">
                  <c:v>120.36199999999999</c:v>
                </c:pt>
                <c:pt idx="70">
                  <c:v>0.27900000000000003</c:v>
                </c:pt>
                <c:pt idx="71">
                  <c:v>0</c:v>
                </c:pt>
                <c:pt idx="72">
                  <c:v>117.697</c:v>
                </c:pt>
                <c:pt idx="73">
                  <c:v>0.58799999999999997</c:v>
                </c:pt>
                <c:pt idx="74">
                  <c:v>0</c:v>
                </c:pt>
                <c:pt idx="75">
                  <c:v>187.155</c:v>
                </c:pt>
                <c:pt idx="76">
                  <c:v>0.623</c:v>
                </c:pt>
                <c:pt idx="77">
                  <c:v>0</c:v>
                </c:pt>
                <c:pt idx="78">
                  <c:v>186.22900000000001</c:v>
                </c:pt>
                <c:pt idx="79">
                  <c:v>0.73899999999999999</c:v>
                </c:pt>
                <c:pt idx="80">
                  <c:v>0</c:v>
                </c:pt>
                <c:pt idx="81">
                  <c:v>230.29599999999999</c:v>
                </c:pt>
                <c:pt idx="82">
                  <c:v>-0.22800000000000001</c:v>
                </c:pt>
                <c:pt idx="83">
                  <c:v>0</c:v>
                </c:pt>
                <c:pt idx="84">
                  <c:v>228.37299999999999</c:v>
                </c:pt>
                <c:pt idx="85">
                  <c:v>0.443</c:v>
                </c:pt>
                <c:pt idx="86">
                  <c:v>0</c:v>
                </c:pt>
                <c:pt idx="87">
                  <c:v>217.00700000000001</c:v>
                </c:pt>
                <c:pt idx="88">
                  <c:v>0.72299999999999998</c:v>
                </c:pt>
                <c:pt idx="89">
                  <c:v>0</c:v>
                </c:pt>
                <c:pt idx="90">
                  <c:v>215.328</c:v>
                </c:pt>
                <c:pt idx="91">
                  <c:v>-0.158</c:v>
                </c:pt>
                <c:pt idx="92">
                  <c:v>0</c:v>
                </c:pt>
                <c:pt idx="93">
                  <c:v>207.22200000000001</c:v>
                </c:pt>
                <c:pt idx="94">
                  <c:v>-0.154</c:v>
                </c:pt>
                <c:pt idx="95">
                  <c:v>0</c:v>
                </c:pt>
                <c:pt idx="96">
                  <c:v>205.64</c:v>
                </c:pt>
                <c:pt idx="97">
                  <c:v>0.71899999999999997</c:v>
                </c:pt>
                <c:pt idx="98">
                  <c:v>0</c:v>
                </c:pt>
                <c:pt idx="99">
                  <c:v>232.46899999999999</c:v>
                </c:pt>
                <c:pt idx="100">
                  <c:v>0.88900000000000001</c:v>
                </c:pt>
                <c:pt idx="101">
                  <c:v>0</c:v>
                </c:pt>
                <c:pt idx="102">
                  <c:v>234.97</c:v>
                </c:pt>
                <c:pt idx="103">
                  <c:v>1.196</c:v>
                </c:pt>
                <c:pt idx="104">
                  <c:v>0</c:v>
                </c:pt>
                <c:pt idx="105">
                  <c:v>221.518</c:v>
                </c:pt>
                <c:pt idx="106">
                  <c:v>-0.98099999999999998</c:v>
                </c:pt>
                <c:pt idx="107">
                  <c:v>0</c:v>
                </c:pt>
                <c:pt idx="108">
                  <c:v>218.71299999999999</c:v>
                </c:pt>
                <c:pt idx="109">
                  <c:v>0.98899999999999999</c:v>
                </c:pt>
                <c:pt idx="110">
                  <c:v>0</c:v>
                </c:pt>
                <c:pt idx="111">
                  <c:v>242.33099999999999</c:v>
                </c:pt>
                <c:pt idx="112">
                  <c:v>1.4359999999999999</c:v>
                </c:pt>
                <c:pt idx="113">
                  <c:v>0</c:v>
                </c:pt>
                <c:pt idx="114">
                  <c:v>243.52</c:v>
                </c:pt>
                <c:pt idx="115">
                  <c:v>0.78900000000000003</c:v>
                </c:pt>
                <c:pt idx="116">
                  <c:v>0</c:v>
                </c:pt>
                <c:pt idx="117">
                  <c:v>217.39</c:v>
                </c:pt>
                <c:pt idx="118">
                  <c:v>-0.58599999999999997</c:v>
                </c:pt>
                <c:pt idx="119">
                  <c:v>0</c:v>
                </c:pt>
                <c:pt idx="120">
                  <c:v>212.61600000000001</c:v>
                </c:pt>
                <c:pt idx="121">
                  <c:v>1.131</c:v>
                </c:pt>
                <c:pt idx="122">
                  <c:v>0</c:v>
                </c:pt>
                <c:pt idx="123">
                  <c:v>239.2</c:v>
                </c:pt>
                <c:pt idx="124">
                  <c:v>-1.877</c:v>
                </c:pt>
                <c:pt idx="125">
                  <c:v>0</c:v>
                </c:pt>
                <c:pt idx="126">
                  <c:v>237.869</c:v>
                </c:pt>
                <c:pt idx="127">
                  <c:v>0.39800000000000002</c:v>
                </c:pt>
                <c:pt idx="128">
                  <c:v>0</c:v>
                </c:pt>
                <c:pt idx="129">
                  <c:v>208.91499999999999</c:v>
                </c:pt>
                <c:pt idx="130">
                  <c:v>-0.245</c:v>
                </c:pt>
                <c:pt idx="131">
                  <c:v>0</c:v>
                </c:pt>
                <c:pt idx="132">
                  <c:v>206.69800000000001</c:v>
                </c:pt>
                <c:pt idx="133">
                  <c:v>7.3999999999999996E-2</c:v>
                </c:pt>
                <c:pt idx="134">
                  <c:v>0</c:v>
                </c:pt>
                <c:pt idx="135">
                  <c:v>114.27800000000001</c:v>
                </c:pt>
                <c:pt idx="136">
                  <c:v>-0.24</c:v>
                </c:pt>
                <c:pt idx="137">
                  <c:v>0</c:v>
                </c:pt>
                <c:pt idx="138">
                  <c:v>112.619</c:v>
                </c:pt>
                <c:pt idx="139">
                  <c:v>0.59299999999999997</c:v>
                </c:pt>
                <c:pt idx="140">
                  <c:v>0</c:v>
                </c:pt>
                <c:pt idx="141">
                  <c:v>246.45599999999999</c:v>
                </c:pt>
                <c:pt idx="142">
                  <c:v>-0.91600000000000004</c:v>
                </c:pt>
                <c:pt idx="143">
                  <c:v>0</c:v>
                </c:pt>
                <c:pt idx="144">
                  <c:v>247.166</c:v>
                </c:pt>
                <c:pt idx="145">
                  <c:v>0.22</c:v>
                </c:pt>
                <c:pt idx="146">
                  <c:v>0</c:v>
                </c:pt>
                <c:pt idx="147">
                  <c:v>234.81299999999999</c:v>
                </c:pt>
                <c:pt idx="148">
                  <c:v>0.29799999999999999</c:v>
                </c:pt>
                <c:pt idx="149">
                  <c:v>0</c:v>
                </c:pt>
                <c:pt idx="150">
                  <c:v>234.30699999999999</c:v>
                </c:pt>
                <c:pt idx="151">
                  <c:v>-0.46500000000000002</c:v>
                </c:pt>
                <c:pt idx="152">
                  <c:v>0</c:v>
                </c:pt>
                <c:pt idx="153">
                  <c:v>226.17</c:v>
                </c:pt>
                <c:pt idx="154">
                  <c:v>-1.68</c:v>
                </c:pt>
                <c:pt idx="155">
                  <c:v>0</c:v>
                </c:pt>
                <c:pt idx="156">
                  <c:v>225.28899999999999</c:v>
                </c:pt>
                <c:pt idx="157">
                  <c:v>-8.6999999999999994E-2</c:v>
                </c:pt>
                <c:pt idx="158">
                  <c:v>0</c:v>
                </c:pt>
                <c:pt idx="159">
                  <c:v>223.846</c:v>
                </c:pt>
                <c:pt idx="160">
                  <c:v>-0.30599999999999999</c:v>
                </c:pt>
                <c:pt idx="161">
                  <c:v>0</c:v>
                </c:pt>
                <c:pt idx="162">
                  <c:v>225.85599999999999</c:v>
                </c:pt>
                <c:pt idx="163">
                  <c:v>0.28999999999999998</c:v>
                </c:pt>
                <c:pt idx="164">
                  <c:v>0</c:v>
                </c:pt>
                <c:pt idx="165">
                  <c:v>207.31800000000001</c:v>
                </c:pt>
                <c:pt idx="166">
                  <c:v>-0.25</c:v>
                </c:pt>
                <c:pt idx="167">
                  <c:v>0</c:v>
                </c:pt>
                <c:pt idx="168">
                  <c:v>207.26499999999999</c:v>
                </c:pt>
                <c:pt idx="169">
                  <c:v>0.76800000000000002</c:v>
                </c:pt>
                <c:pt idx="170">
                  <c:v>0</c:v>
                </c:pt>
                <c:pt idx="171">
                  <c:v>242.09399999999999</c:v>
                </c:pt>
                <c:pt idx="172">
                  <c:v>0.91300000000000003</c:v>
                </c:pt>
                <c:pt idx="173">
                  <c:v>0</c:v>
                </c:pt>
                <c:pt idx="174">
                  <c:v>243.09700000000001</c:v>
                </c:pt>
                <c:pt idx="175">
                  <c:v>-0.67200000000000004</c:v>
                </c:pt>
                <c:pt idx="176">
                  <c:v>0</c:v>
                </c:pt>
                <c:pt idx="177">
                  <c:v>206.291</c:v>
                </c:pt>
                <c:pt idx="178">
                  <c:v>-0.32</c:v>
                </c:pt>
                <c:pt idx="179">
                  <c:v>0</c:v>
                </c:pt>
                <c:pt idx="180">
                  <c:v>207.31299999999999</c:v>
                </c:pt>
                <c:pt idx="181">
                  <c:v>-0.152</c:v>
                </c:pt>
                <c:pt idx="182">
                  <c:v>0</c:v>
                </c:pt>
                <c:pt idx="183">
                  <c:v>120.125</c:v>
                </c:pt>
                <c:pt idx="184">
                  <c:v>-0.154</c:v>
                </c:pt>
                <c:pt idx="185">
                  <c:v>0</c:v>
                </c:pt>
                <c:pt idx="186">
                  <c:v>120.155</c:v>
                </c:pt>
                <c:pt idx="187">
                  <c:v>1.1619999999999999</c:v>
                </c:pt>
                <c:pt idx="188">
                  <c:v>0</c:v>
                </c:pt>
                <c:pt idx="189">
                  <c:v>138.559</c:v>
                </c:pt>
                <c:pt idx="190">
                  <c:v>-0.39400000000000002</c:v>
                </c:pt>
                <c:pt idx="191">
                  <c:v>0</c:v>
                </c:pt>
                <c:pt idx="192">
                  <c:v>138.434</c:v>
                </c:pt>
                <c:pt idx="193">
                  <c:v>0.26100000000000001</c:v>
                </c:pt>
                <c:pt idx="194">
                  <c:v>0</c:v>
                </c:pt>
                <c:pt idx="195">
                  <c:v>184.18199999999999</c:v>
                </c:pt>
                <c:pt idx="196">
                  <c:v>0.14599999999999999</c:v>
                </c:pt>
                <c:pt idx="197">
                  <c:v>0</c:v>
                </c:pt>
                <c:pt idx="198">
                  <c:v>187.53</c:v>
                </c:pt>
                <c:pt idx="199">
                  <c:v>0.13500000000000001</c:v>
                </c:pt>
                <c:pt idx="200">
                  <c:v>0</c:v>
                </c:pt>
                <c:pt idx="201">
                  <c:v>206.42</c:v>
                </c:pt>
                <c:pt idx="202">
                  <c:v>-0.35399999999999998</c:v>
                </c:pt>
                <c:pt idx="203">
                  <c:v>0</c:v>
                </c:pt>
                <c:pt idx="204">
                  <c:v>206.70099999999999</c:v>
                </c:pt>
                <c:pt idx="205">
                  <c:v>-0.17199999999999999</c:v>
                </c:pt>
                <c:pt idx="206">
                  <c:v>0</c:v>
                </c:pt>
                <c:pt idx="207">
                  <c:v>239.143</c:v>
                </c:pt>
                <c:pt idx="208">
                  <c:v>1.2490000000000001</c:v>
                </c:pt>
                <c:pt idx="209">
                  <c:v>0</c:v>
                </c:pt>
                <c:pt idx="210">
                  <c:v>242.779</c:v>
                </c:pt>
                <c:pt idx="211">
                  <c:v>0.10299999999999999</c:v>
                </c:pt>
                <c:pt idx="212">
                  <c:v>0</c:v>
                </c:pt>
                <c:pt idx="213">
                  <c:v>249.08500000000001</c:v>
                </c:pt>
                <c:pt idx="214">
                  <c:v>0.14599999999999999</c:v>
                </c:pt>
                <c:pt idx="215">
                  <c:v>0</c:v>
                </c:pt>
                <c:pt idx="216">
                  <c:v>251.529</c:v>
                </c:pt>
                <c:pt idx="217">
                  <c:v>1.472</c:v>
                </c:pt>
                <c:pt idx="218">
                  <c:v>0</c:v>
                </c:pt>
                <c:pt idx="219">
                  <c:v>265.11900000000003</c:v>
                </c:pt>
                <c:pt idx="220">
                  <c:v>0.28199999999999997</c:v>
                </c:pt>
                <c:pt idx="221">
                  <c:v>0</c:v>
                </c:pt>
                <c:pt idx="222">
                  <c:v>269.02699999999999</c:v>
                </c:pt>
                <c:pt idx="223">
                  <c:v>0.50700000000000001</c:v>
                </c:pt>
                <c:pt idx="224">
                  <c:v>0</c:v>
                </c:pt>
                <c:pt idx="225">
                  <c:v>242.71600000000001</c:v>
                </c:pt>
                <c:pt idx="226">
                  <c:v>0.16200000000000001</c:v>
                </c:pt>
                <c:pt idx="227">
                  <c:v>0</c:v>
                </c:pt>
                <c:pt idx="228">
                  <c:v>237.535</c:v>
                </c:pt>
                <c:pt idx="229">
                  <c:v>-0.751</c:v>
                </c:pt>
                <c:pt idx="230">
                  <c:v>0</c:v>
                </c:pt>
                <c:pt idx="231">
                  <c:v>224.952</c:v>
                </c:pt>
                <c:pt idx="232">
                  <c:v>-0.16200000000000001</c:v>
                </c:pt>
                <c:pt idx="233">
                  <c:v>0</c:v>
                </c:pt>
                <c:pt idx="234">
                  <c:v>227.011</c:v>
                </c:pt>
                <c:pt idx="235">
                  <c:v>-0.249</c:v>
                </c:pt>
                <c:pt idx="236">
                  <c:v>0</c:v>
                </c:pt>
                <c:pt idx="237">
                  <c:v>208.035</c:v>
                </c:pt>
                <c:pt idx="238">
                  <c:v>0.13800000000000001</c:v>
                </c:pt>
                <c:pt idx="239">
                  <c:v>0</c:v>
                </c:pt>
                <c:pt idx="240">
                  <c:v>208.45599999999999</c:v>
                </c:pt>
                <c:pt idx="241">
                  <c:v>-0.26500000000000001</c:v>
                </c:pt>
                <c:pt idx="242">
                  <c:v>0</c:v>
                </c:pt>
                <c:pt idx="243">
                  <c:v>202.392</c:v>
                </c:pt>
                <c:pt idx="244">
                  <c:v>1.923</c:v>
                </c:pt>
                <c:pt idx="245">
                  <c:v>0</c:v>
                </c:pt>
                <c:pt idx="246">
                  <c:v>199.46899999999999</c:v>
                </c:pt>
                <c:pt idx="247">
                  <c:v>-0.51700000000000002</c:v>
                </c:pt>
                <c:pt idx="248">
                  <c:v>0</c:v>
                </c:pt>
                <c:pt idx="249">
                  <c:v>213.63</c:v>
                </c:pt>
                <c:pt idx="250">
                  <c:v>-0.61299999999999999</c:v>
                </c:pt>
                <c:pt idx="251">
                  <c:v>0</c:v>
                </c:pt>
                <c:pt idx="252">
                  <c:v>211.81700000000001</c:v>
                </c:pt>
                <c:pt idx="253">
                  <c:v>-0.19</c:v>
                </c:pt>
                <c:pt idx="254">
                  <c:v>0</c:v>
                </c:pt>
                <c:pt idx="255">
                  <c:v>144.554</c:v>
                </c:pt>
                <c:pt idx="256">
                  <c:v>0.56699999999999995</c:v>
                </c:pt>
                <c:pt idx="257">
                  <c:v>0</c:v>
                </c:pt>
                <c:pt idx="258">
                  <c:v>142.68299999999999</c:v>
                </c:pt>
                <c:pt idx="259">
                  <c:v>0.60299999999999998</c:v>
                </c:pt>
                <c:pt idx="260">
                  <c:v>0</c:v>
                </c:pt>
                <c:pt idx="261">
                  <c:v>160.869</c:v>
                </c:pt>
                <c:pt idx="262">
                  <c:v>-0.19900000000000001</c:v>
                </c:pt>
                <c:pt idx="263">
                  <c:v>0</c:v>
                </c:pt>
                <c:pt idx="264">
                  <c:v>161.03800000000001</c:v>
                </c:pt>
                <c:pt idx="265">
                  <c:v>0.16800000000000001</c:v>
                </c:pt>
                <c:pt idx="266">
                  <c:v>0</c:v>
                </c:pt>
                <c:pt idx="267">
                  <c:v>190.273</c:v>
                </c:pt>
                <c:pt idx="268">
                  <c:v>-1.8</c:v>
                </c:pt>
                <c:pt idx="269">
                  <c:v>0</c:v>
                </c:pt>
                <c:pt idx="270">
                  <c:v>192.10400000000001</c:v>
                </c:pt>
                <c:pt idx="271">
                  <c:v>1.264</c:v>
                </c:pt>
                <c:pt idx="272">
                  <c:v>0</c:v>
                </c:pt>
                <c:pt idx="273">
                  <c:v>206.47499999999999</c:v>
                </c:pt>
                <c:pt idx="274">
                  <c:v>-0.61699999999999999</c:v>
                </c:pt>
                <c:pt idx="275">
                  <c:v>0</c:v>
                </c:pt>
                <c:pt idx="276">
                  <c:v>206.227</c:v>
                </c:pt>
                <c:pt idx="277">
                  <c:v>0.14000000000000001</c:v>
                </c:pt>
                <c:pt idx="278">
                  <c:v>0</c:v>
                </c:pt>
                <c:pt idx="279">
                  <c:v>216.63900000000001</c:v>
                </c:pt>
                <c:pt idx="280">
                  <c:v>0.45</c:v>
                </c:pt>
                <c:pt idx="281">
                  <c:v>0</c:v>
                </c:pt>
                <c:pt idx="282">
                  <c:v>217.77699999999999</c:v>
                </c:pt>
                <c:pt idx="283">
                  <c:v>-0.90600000000000003</c:v>
                </c:pt>
                <c:pt idx="284">
                  <c:v>0</c:v>
                </c:pt>
                <c:pt idx="285">
                  <c:v>222.983</c:v>
                </c:pt>
                <c:pt idx="286">
                  <c:v>-0.34</c:v>
                </c:pt>
                <c:pt idx="287">
                  <c:v>0</c:v>
                </c:pt>
                <c:pt idx="288">
                  <c:v>227.07900000000001</c:v>
                </c:pt>
                <c:pt idx="289">
                  <c:v>-0.90700000000000003</c:v>
                </c:pt>
                <c:pt idx="290">
                  <c:v>0</c:v>
                </c:pt>
                <c:pt idx="291">
                  <c:v>218.66</c:v>
                </c:pt>
                <c:pt idx="292">
                  <c:v>-0.32400000000000001</c:v>
                </c:pt>
                <c:pt idx="293">
                  <c:v>0</c:v>
                </c:pt>
                <c:pt idx="294">
                  <c:v>219.774</c:v>
                </c:pt>
                <c:pt idx="295">
                  <c:v>1.1579999999999999</c:v>
                </c:pt>
                <c:pt idx="296">
                  <c:v>0</c:v>
                </c:pt>
                <c:pt idx="297">
                  <c:v>235.11799999999999</c:v>
                </c:pt>
                <c:pt idx="298">
                  <c:v>-0.312</c:v>
                </c:pt>
                <c:pt idx="299">
                  <c:v>0</c:v>
                </c:pt>
                <c:pt idx="300">
                  <c:v>235.82300000000001</c:v>
                </c:pt>
                <c:pt idx="301">
                  <c:v>0.65100000000000002</c:v>
                </c:pt>
                <c:pt idx="302">
                  <c:v>0</c:v>
                </c:pt>
                <c:pt idx="303">
                  <c:v>238.048</c:v>
                </c:pt>
                <c:pt idx="304">
                  <c:v>2.8000000000000001E-2</c:v>
                </c:pt>
                <c:pt idx="305">
                  <c:v>0</c:v>
                </c:pt>
                <c:pt idx="306">
                  <c:v>236.572</c:v>
                </c:pt>
                <c:pt idx="307">
                  <c:v>-0.30599999999999999</c:v>
                </c:pt>
                <c:pt idx="308">
                  <c:v>0</c:v>
                </c:pt>
                <c:pt idx="309">
                  <c:v>207.42500000000001</c:v>
                </c:pt>
                <c:pt idx="310">
                  <c:v>0.77600000000000002</c:v>
                </c:pt>
                <c:pt idx="311">
                  <c:v>0</c:v>
                </c:pt>
                <c:pt idx="312">
                  <c:v>207.91</c:v>
                </c:pt>
                <c:pt idx="313">
                  <c:v>-0.56499999999999995</c:v>
                </c:pt>
                <c:pt idx="314">
                  <c:v>0</c:v>
                </c:pt>
                <c:pt idx="315">
                  <c:v>236.88499999999999</c:v>
                </c:pt>
                <c:pt idx="316">
                  <c:v>-1.5349999999999999</c:v>
                </c:pt>
                <c:pt idx="317">
                  <c:v>0</c:v>
                </c:pt>
                <c:pt idx="318">
                  <c:v>236.7</c:v>
                </c:pt>
                <c:pt idx="319">
                  <c:v>0.754</c:v>
                </c:pt>
                <c:pt idx="320">
                  <c:v>0</c:v>
                </c:pt>
                <c:pt idx="321">
                  <c:v>247.17599999999999</c:v>
                </c:pt>
                <c:pt idx="322">
                  <c:v>-0.90700000000000003</c:v>
                </c:pt>
                <c:pt idx="323">
                  <c:v>0</c:v>
                </c:pt>
                <c:pt idx="324">
                  <c:v>243.928</c:v>
                </c:pt>
                <c:pt idx="325">
                  <c:v>-0.64800000000000002</c:v>
                </c:pt>
                <c:pt idx="326">
                  <c:v>0</c:v>
                </c:pt>
                <c:pt idx="327">
                  <c:v>252.00899999999999</c:v>
                </c:pt>
                <c:pt idx="328">
                  <c:v>-1.504</c:v>
                </c:pt>
                <c:pt idx="329">
                  <c:v>0</c:v>
                </c:pt>
                <c:pt idx="330">
                  <c:v>248.524</c:v>
                </c:pt>
                <c:pt idx="331">
                  <c:v>2.4E-2</c:v>
                </c:pt>
                <c:pt idx="332">
                  <c:v>0</c:v>
                </c:pt>
                <c:pt idx="333">
                  <c:v>256.24700000000001</c:v>
                </c:pt>
                <c:pt idx="334">
                  <c:v>0.57099999999999995</c:v>
                </c:pt>
                <c:pt idx="335">
                  <c:v>0</c:v>
                </c:pt>
                <c:pt idx="336">
                  <c:v>255.91499999999999</c:v>
                </c:pt>
                <c:pt idx="337">
                  <c:v>-0.71499999999999997</c:v>
                </c:pt>
                <c:pt idx="338">
                  <c:v>0</c:v>
                </c:pt>
                <c:pt idx="339">
                  <c:v>259.02499999999998</c:v>
                </c:pt>
                <c:pt idx="340">
                  <c:v>0.26500000000000001</c:v>
                </c:pt>
                <c:pt idx="341">
                  <c:v>0</c:v>
                </c:pt>
                <c:pt idx="342">
                  <c:v>207.12299999999999</c:v>
                </c:pt>
                <c:pt idx="343">
                  <c:v>0.24</c:v>
                </c:pt>
                <c:pt idx="344">
                  <c:v>0</c:v>
                </c:pt>
                <c:pt idx="345">
                  <c:v>211.84700000000001</c:v>
                </c:pt>
                <c:pt idx="346">
                  <c:v>-1.085</c:v>
                </c:pt>
                <c:pt idx="347">
                  <c:v>0</c:v>
                </c:pt>
                <c:pt idx="348">
                  <c:v>205.52600000000001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7-45DB-8324-CC34B69BE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32"/>
        <c:axId val="33554433"/>
      </c:scatterChart>
      <c:valAx>
        <c:axId val="33554432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3"/>
        <c:crosses val="autoZero"/>
        <c:crossBetween val="midCat"/>
      </c:valAx>
      <c:valAx>
        <c:axId val="33554433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2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2H raw vs row</c:v>
          </c:tx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trendline>
            <c:spPr>
              <a:prstGeom prst="rect">
                <a:avLst/>
              </a:prstGeom>
              <a:ln w="12700">
                <a:solidFill>
                  <a:srgbClr val="33CCCC"/>
                </a:solidFill>
                <a:prstDash val="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prstGeom prst="rect">
                  <a:avLst/>
                </a:prstGeom>
                <a:noFill/>
                <a:ln w="3175">
                  <a:noFill/>
                </a:ln>
              </c:spPr>
              <c:txPr>
                <a:bodyPr rot="0" vert="horz"/>
                <a:lstStyle/>
                <a:p>
                  <a:pPr>
                    <a:defRPr sz="900" b="0" i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Deriva!$C$5:$C$26</c:f>
              <c:numCache>
                <c:formatCode>General</c:formatCode>
                <c:ptCount val="2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23</c:v>
                </c:pt>
                <c:pt idx="4">
                  <c:v>24</c:v>
                </c:pt>
                <c:pt idx="5">
                  <c:v>35</c:v>
                </c:pt>
                <c:pt idx="6">
                  <c:v>36</c:v>
                </c:pt>
                <c:pt idx="7">
                  <c:v>47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71</c:v>
                </c:pt>
                <c:pt idx="12">
                  <c:v>72</c:v>
                </c:pt>
                <c:pt idx="13">
                  <c:v>83</c:v>
                </c:pt>
                <c:pt idx="14">
                  <c:v>84</c:v>
                </c:pt>
                <c:pt idx="15">
                  <c:v>95</c:v>
                </c:pt>
                <c:pt idx="16">
                  <c:v>96</c:v>
                </c:pt>
                <c:pt idx="17">
                  <c:v>107</c:v>
                </c:pt>
                <c:pt idx="18">
                  <c:v>108</c:v>
                </c:pt>
                <c:pt idx="19">
                  <c:v>118</c:v>
                </c:pt>
                <c:pt idx="20">
                  <c:v>119</c:v>
                </c:pt>
                <c:pt idx="21">
                  <c:v>120</c:v>
                </c:pt>
              </c:numCache>
            </c:numRef>
          </c:xVal>
          <c:yVal>
            <c:numRef>
              <c:f>Deriva!$D$5:$D$26</c:f>
              <c:numCache>
                <c:formatCode>General</c:formatCode>
                <c:ptCount val="22"/>
                <c:pt idx="0">
                  <c:v>207.583</c:v>
                </c:pt>
                <c:pt idx="1">
                  <c:v>209.739</c:v>
                </c:pt>
                <c:pt idx="2">
                  <c:v>207.52799999999999</c:v>
                </c:pt>
                <c:pt idx="3">
                  <c:v>204.577</c:v>
                </c:pt>
                <c:pt idx="4">
                  <c:v>206.81100000000001</c:v>
                </c:pt>
                <c:pt idx="5">
                  <c:v>207.22200000000001</c:v>
                </c:pt>
                <c:pt idx="6">
                  <c:v>205.64</c:v>
                </c:pt>
                <c:pt idx="7">
                  <c:v>208.91499999999999</c:v>
                </c:pt>
                <c:pt idx="8">
                  <c:v>206.69800000000001</c:v>
                </c:pt>
                <c:pt idx="9">
                  <c:v>207.31800000000001</c:v>
                </c:pt>
                <c:pt idx="10">
                  <c:v>207.26499999999999</c:v>
                </c:pt>
                <c:pt idx="11">
                  <c:v>206.42</c:v>
                </c:pt>
                <c:pt idx="12">
                  <c:v>206.70099999999999</c:v>
                </c:pt>
                <c:pt idx="13">
                  <c:v>208.035</c:v>
                </c:pt>
                <c:pt idx="14">
                  <c:v>208.45599999999999</c:v>
                </c:pt>
                <c:pt idx="15">
                  <c:v>206.47499999999999</c:v>
                </c:pt>
                <c:pt idx="16">
                  <c:v>206.227</c:v>
                </c:pt>
                <c:pt idx="17">
                  <c:v>207.42500000000001</c:v>
                </c:pt>
                <c:pt idx="18">
                  <c:v>207.91</c:v>
                </c:pt>
                <c:pt idx="19">
                  <c:v>207.12299999999999</c:v>
                </c:pt>
                <c:pt idx="20">
                  <c:v>211.84700000000001</c:v>
                </c:pt>
                <c:pt idx="21">
                  <c:v>205.52600000000001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3-4A42-A156-5CCB5E65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34"/>
        <c:axId val="33554435"/>
      </c:scatterChart>
      <c:valAx>
        <c:axId val="33554434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5"/>
        <c:crosses val="autoZero"/>
        <c:crossBetween val="midCat"/>
      </c:valAx>
      <c:valAx>
        <c:axId val="33554435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4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18O raw vs row</c:v>
          </c:tx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trendline>
            <c:spPr>
              <a:prstGeom prst="rect">
                <a:avLst/>
              </a:prstGeom>
              <a:ln w="12700">
                <a:solidFill>
                  <a:srgbClr val="33CCCC"/>
                </a:solidFill>
                <a:prstDash val="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prstGeom prst="rect">
                  <a:avLst/>
                </a:prstGeom>
                <a:noFill/>
                <a:ln w="3175">
                  <a:noFill/>
                </a:ln>
              </c:spPr>
              <c:txPr>
                <a:bodyPr rot="0" vert="horz"/>
                <a:lstStyle/>
                <a:p>
                  <a:pPr>
                    <a:defRPr sz="900" b="0" i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Deriva!$C$5:$C$26</c:f>
              <c:numCache>
                <c:formatCode>General</c:formatCode>
                <c:ptCount val="2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23</c:v>
                </c:pt>
                <c:pt idx="4">
                  <c:v>24</c:v>
                </c:pt>
                <c:pt idx="5">
                  <c:v>35</c:v>
                </c:pt>
                <c:pt idx="6">
                  <c:v>36</c:v>
                </c:pt>
                <c:pt idx="7">
                  <c:v>47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71</c:v>
                </c:pt>
                <c:pt idx="12">
                  <c:v>72</c:v>
                </c:pt>
                <c:pt idx="13">
                  <c:v>83</c:v>
                </c:pt>
                <c:pt idx="14">
                  <c:v>84</c:v>
                </c:pt>
                <c:pt idx="15">
                  <c:v>95</c:v>
                </c:pt>
                <c:pt idx="16">
                  <c:v>96</c:v>
                </c:pt>
                <c:pt idx="17">
                  <c:v>107</c:v>
                </c:pt>
                <c:pt idx="18">
                  <c:v>108</c:v>
                </c:pt>
                <c:pt idx="19">
                  <c:v>118</c:v>
                </c:pt>
                <c:pt idx="20">
                  <c:v>119</c:v>
                </c:pt>
                <c:pt idx="21">
                  <c:v>120</c:v>
                </c:pt>
              </c:numCache>
            </c:numRef>
          </c:xVal>
          <c:yVal>
            <c:numRef>
              <c:f>Deriva!$E$5:$E$26</c:f>
              <c:numCache>
                <c:formatCode>General</c:formatCode>
                <c:ptCount val="22"/>
                <c:pt idx="0">
                  <c:v>-4.6500000000000004</c:v>
                </c:pt>
                <c:pt idx="1">
                  <c:v>-4.4560000000000004</c:v>
                </c:pt>
                <c:pt idx="2">
                  <c:v>-4.593</c:v>
                </c:pt>
                <c:pt idx="3">
                  <c:v>-4.4889999999999999</c:v>
                </c:pt>
                <c:pt idx="4">
                  <c:v>-4.6360000000000001</c:v>
                </c:pt>
                <c:pt idx="5">
                  <c:v>-4.5810000000000004</c:v>
                </c:pt>
                <c:pt idx="6">
                  <c:v>-4.4569999999999999</c:v>
                </c:pt>
                <c:pt idx="7">
                  <c:v>-4.4059999999999997</c:v>
                </c:pt>
                <c:pt idx="8">
                  <c:v>-4.5940000000000003</c:v>
                </c:pt>
                <c:pt idx="9">
                  <c:v>-4.5659999999999998</c:v>
                </c:pt>
                <c:pt idx="10">
                  <c:v>-4.5250000000000004</c:v>
                </c:pt>
                <c:pt idx="11">
                  <c:v>-4.423</c:v>
                </c:pt>
                <c:pt idx="12">
                  <c:v>-4.5869999999999997</c:v>
                </c:pt>
                <c:pt idx="13">
                  <c:v>-4.641</c:v>
                </c:pt>
                <c:pt idx="14">
                  <c:v>-4.5</c:v>
                </c:pt>
                <c:pt idx="15">
                  <c:v>-4.6609999999999996</c:v>
                </c:pt>
                <c:pt idx="16">
                  <c:v>-4.4059999999999997</c:v>
                </c:pt>
                <c:pt idx="17">
                  <c:v>-4.431</c:v>
                </c:pt>
                <c:pt idx="18">
                  <c:v>-4.3899999999999997</c:v>
                </c:pt>
                <c:pt idx="19">
                  <c:v>-4.2539999999999996</c:v>
                </c:pt>
                <c:pt idx="20">
                  <c:v>-4.2560000000000002</c:v>
                </c:pt>
                <c:pt idx="21">
                  <c:v>-4.38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6-4999-A845-4F80AD94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36"/>
        <c:axId val="33554437"/>
      </c:scatterChart>
      <c:valAx>
        <c:axId val="33554436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7"/>
        <c:crosses val="autoZero"/>
        <c:crossBetween val="midCat"/>
      </c:valAx>
      <c:valAx>
        <c:axId val="33554437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6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Normalizacion 2H</c:v>
          </c:tx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trendline>
            <c:spPr>
              <a:prstGeom prst="rect">
                <a:avLst/>
              </a:prstGeom>
              <a:ln w="12700">
                <a:solidFill>
                  <a:srgbClr val="33CCCC"/>
                </a:solidFill>
                <a:prstDash val="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prstGeom prst="rect">
                  <a:avLst/>
                </a:prstGeom>
                <a:noFill/>
                <a:ln w="3175">
                  <a:noFill/>
                </a:ln>
              </c:spPr>
              <c:txPr>
                <a:bodyPr rot="0" vert="horz"/>
                <a:lstStyle/>
                <a:p>
                  <a:pPr>
                    <a:defRPr sz="900" b="0" i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'2H proc'!$J$4:$J$27</c:f>
              <c:numCache>
                <c:formatCode>General</c:formatCode>
                <c:ptCount val="24"/>
                <c:pt idx="0">
                  <c:v>-0.49</c:v>
                </c:pt>
                <c:pt idx="1">
                  <c:v>-0.49</c:v>
                </c:pt>
                <c:pt idx="2">
                  <c:v>-0.49</c:v>
                </c:pt>
                <c:pt idx="3">
                  <c:v>-36.92</c:v>
                </c:pt>
                <c:pt idx="4">
                  <c:v>-36.92</c:v>
                </c:pt>
                <c:pt idx="5">
                  <c:v>-36.92</c:v>
                </c:pt>
                <c:pt idx="6">
                  <c:v>-72.069999999999993</c:v>
                </c:pt>
                <c:pt idx="7">
                  <c:v>-72.069999999999993</c:v>
                </c:pt>
                <c:pt idx="8">
                  <c:v>-72.069999999999993</c:v>
                </c:pt>
                <c:pt idx="9">
                  <c:v>-94.89</c:v>
                </c:pt>
                <c:pt idx="10">
                  <c:v>-94.89</c:v>
                </c:pt>
                <c:pt idx="11">
                  <c:v>-94.89</c:v>
                </c:pt>
                <c:pt idx="12">
                  <c:v>-0.49</c:v>
                </c:pt>
                <c:pt idx="13">
                  <c:v>-0.49</c:v>
                </c:pt>
                <c:pt idx="14">
                  <c:v>-0.49</c:v>
                </c:pt>
                <c:pt idx="15">
                  <c:v>-36.92</c:v>
                </c:pt>
                <c:pt idx="16">
                  <c:v>-36.92</c:v>
                </c:pt>
                <c:pt idx="17">
                  <c:v>-36.92</c:v>
                </c:pt>
                <c:pt idx="18">
                  <c:v>-72.069999999999993</c:v>
                </c:pt>
                <c:pt idx="19">
                  <c:v>-72.069999999999993</c:v>
                </c:pt>
                <c:pt idx="20">
                  <c:v>-72.069999999999993</c:v>
                </c:pt>
                <c:pt idx="21">
                  <c:v>-94.89</c:v>
                </c:pt>
                <c:pt idx="22">
                  <c:v>-94.89</c:v>
                </c:pt>
                <c:pt idx="23">
                  <c:v>-94.89</c:v>
                </c:pt>
              </c:numCache>
            </c:numRef>
          </c:xVal>
          <c:yVal>
            <c:numRef>
              <c:f>'2H proc'!$I$4:$I$27</c:f>
              <c:numCache>
                <c:formatCode>General</c:formatCode>
                <c:ptCount val="24"/>
                <c:pt idx="0">
                  <c:v>253.256</c:v>
                </c:pt>
                <c:pt idx="1">
                  <c:v>254.87700000000001</c:v>
                </c:pt>
                <c:pt idx="2">
                  <c:v>252.97</c:v>
                </c:pt>
                <c:pt idx="3">
                  <c:v>207.583</c:v>
                </c:pt>
                <c:pt idx="4">
                  <c:v>209.739</c:v>
                </c:pt>
                <c:pt idx="5">
                  <c:v>207.52799999999999</c:v>
                </c:pt>
                <c:pt idx="6">
                  <c:v>167.18199999999999</c:v>
                </c:pt>
                <c:pt idx="7">
                  <c:v>164.245</c:v>
                </c:pt>
                <c:pt idx="8">
                  <c:v>166.37100000000001</c:v>
                </c:pt>
                <c:pt idx="9">
                  <c:v>141.55099999999999</c:v>
                </c:pt>
                <c:pt idx="10">
                  <c:v>136.43899999999999</c:v>
                </c:pt>
                <c:pt idx="11">
                  <c:v>138.19499999999999</c:v>
                </c:pt>
                <c:pt idx="12">
                  <c:v>256.24700000000001</c:v>
                </c:pt>
                <c:pt idx="13">
                  <c:v>255.91499999999999</c:v>
                </c:pt>
                <c:pt idx="14">
                  <c:v>259.02499999999998</c:v>
                </c:pt>
                <c:pt idx="15">
                  <c:v>207.12299999999999</c:v>
                </c:pt>
                <c:pt idx="16">
                  <c:v>211.84700000000001</c:v>
                </c:pt>
                <c:pt idx="17">
                  <c:v>205.52600000000001</c:v>
                </c:pt>
                <c:pt idx="18">
                  <c:v>167.74100000000001</c:v>
                </c:pt>
                <c:pt idx="19">
                  <c:v>165.31</c:v>
                </c:pt>
                <c:pt idx="20">
                  <c:v>165.476</c:v>
                </c:pt>
                <c:pt idx="21">
                  <c:v>139.352</c:v>
                </c:pt>
                <c:pt idx="22">
                  <c:v>138.31399999999999</c:v>
                </c:pt>
                <c:pt idx="23">
                  <c:v>139.26599999999999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4-4175-BA32-D86BF965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38"/>
        <c:axId val="33554439"/>
      </c:scatterChart>
      <c:valAx>
        <c:axId val="33554438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9"/>
        <c:crosses val="autoZero"/>
        <c:crossBetween val="midCat"/>
      </c:valAx>
      <c:valAx>
        <c:axId val="33554439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38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Normalizacion 18O</c:v>
          </c:tx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trendline>
            <c:spPr>
              <a:prstGeom prst="rect">
                <a:avLst/>
              </a:prstGeom>
              <a:ln w="12700">
                <a:solidFill>
                  <a:srgbClr val="33CCCC"/>
                </a:solidFill>
                <a:prstDash val="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prstGeom prst="rect">
                  <a:avLst/>
                </a:prstGeom>
                <a:noFill/>
                <a:ln w="3175">
                  <a:noFill/>
                </a:ln>
              </c:spPr>
              <c:txPr>
                <a:bodyPr rot="0" vert="horz"/>
                <a:lstStyle/>
                <a:p>
                  <a:pPr>
                    <a:defRPr sz="900" b="0" i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'18O proc'!$J$4:$J$27</c:f>
              <c:numCache>
                <c:formatCode>General</c:formatCode>
                <c:ptCount val="24"/>
                <c:pt idx="0">
                  <c:v>-2.7E-2</c:v>
                </c:pt>
                <c:pt idx="1">
                  <c:v>-2.7E-2</c:v>
                </c:pt>
                <c:pt idx="2">
                  <c:v>-2.7E-2</c:v>
                </c:pt>
                <c:pt idx="3">
                  <c:v>-5.4420000000000002</c:v>
                </c:pt>
                <c:pt idx="4">
                  <c:v>-5.4420000000000002</c:v>
                </c:pt>
                <c:pt idx="5">
                  <c:v>-5.4420000000000002</c:v>
                </c:pt>
                <c:pt idx="6">
                  <c:v>-11.362</c:v>
                </c:pt>
                <c:pt idx="7">
                  <c:v>-11.362</c:v>
                </c:pt>
                <c:pt idx="8">
                  <c:v>-11.362</c:v>
                </c:pt>
                <c:pt idx="9">
                  <c:v>-12.78</c:v>
                </c:pt>
                <c:pt idx="10">
                  <c:v>-12.78</c:v>
                </c:pt>
                <c:pt idx="11">
                  <c:v>-12.78</c:v>
                </c:pt>
                <c:pt idx="12">
                  <c:v>-2.7E-2</c:v>
                </c:pt>
                <c:pt idx="13">
                  <c:v>-2.7E-2</c:v>
                </c:pt>
                <c:pt idx="14">
                  <c:v>-2.7E-2</c:v>
                </c:pt>
                <c:pt idx="15">
                  <c:v>-5.4420000000000002</c:v>
                </c:pt>
                <c:pt idx="16">
                  <c:v>-5.4420000000000002</c:v>
                </c:pt>
                <c:pt idx="17">
                  <c:v>-5.4420000000000002</c:v>
                </c:pt>
                <c:pt idx="18">
                  <c:v>-11.362</c:v>
                </c:pt>
                <c:pt idx="19">
                  <c:v>-11.362</c:v>
                </c:pt>
                <c:pt idx="20">
                  <c:v>-11.362</c:v>
                </c:pt>
                <c:pt idx="21">
                  <c:v>-12.78</c:v>
                </c:pt>
                <c:pt idx="22">
                  <c:v>-12.78</c:v>
                </c:pt>
                <c:pt idx="23">
                  <c:v>-12.78</c:v>
                </c:pt>
              </c:numCache>
            </c:numRef>
          </c:xVal>
          <c:yVal>
            <c:numRef>
              <c:f>'18O proc'!$I$4:$I$27</c:f>
              <c:numCache>
                <c:formatCode>General</c:formatCode>
                <c:ptCount val="24"/>
                <c:pt idx="0">
                  <c:v>1.974</c:v>
                </c:pt>
                <c:pt idx="1">
                  <c:v>2</c:v>
                </c:pt>
                <c:pt idx="2">
                  <c:v>1.909</c:v>
                </c:pt>
                <c:pt idx="3">
                  <c:v>-4.6500000000000004</c:v>
                </c:pt>
                <c:pt idx="4">
                  <c:v>-4.4560000000000004</c:v>
                </c:pt>
                <c:pt idx="5">
                  <c:v>-4.593</c:v>
                </c:pt>
                <c:pt idx="6">
                  <c:v>-10.119</c:v>
                </c:pt>
                <c:pt idx="7">
                  <c:v>-10.317</c:v>
                </c:pt>
                <c:pt idx="8">
                  <c:v>-10.349</c:v>
                </c:pt>
                <c:pt idx="9">
                  <c:v>-11.12</c:v>
                </c:pt>
                <c:pt idx="10">
                  <c:v>-11.542</c:v>
                </c:pt>
                <c:pt idx="11">
                  <c:v>-11.24</c:v>
                </c:pt>
                <c:pt idx="12">
                  <c:v>2.5230000000000001</c:v>
                </c:pt>
                <c:pt idx="13">
                  <c:v>2.383</c:v>
                </c:pt>
                <c:pt idx="14">
                  <c:v>2.419</c:v>
                </c:pt>
                <c:pt idx="15">
                  <c:v>-4.2539999999999996</c:v>
                </c:pt>
                <c:pt idx="16">
                  <c:v>-4.2560000000000002</c:v>
                </c:pt>
                <c:pt idx="17">
                  <c:v>-4.38</c:v>
                </c:pt>
                <c:pt idx="18">
                  <c:v>-9.9309999999999992</c:v>
                </c:pt>
                <c:pt idx="19">
                  <c:v>-10.24</c:v>
                </c:pt>
                <c:pt idx="20">
                  <c:v>-9.6869999999999994</c:v>
                </c:pt>
                <c:pt idx="21">
                  <c:v>-11.224</c:v>
                </c:pt>
                <c:pt idx="22">
                  <c:v>-11.452999999999999</c:v>
                </c:pt>
                <c:pt idx="23">
                  <c:v>-11.340999999999999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44-4F71-B4E2-213B9FCB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40"/>
        <c:axId val="33554441"/>
      </c:scatterChart>
      <c:valAx>
        <c:axId val="33554440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41"/>
        <c:crosses val="autoZero"/>
        <c:crossBetween val="midCat"/>
      </c:valAx>
      <c:valAx>
        <c:axId val="33554441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40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2H vs 18O</c:v>
          </c:tx>
          <c:spPr>
            <a:prstGeom prst="rect">
              <a:avLst/>
            </a:prstGeom>
            <a:ln w="3175">
              <a:noFill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rgbClr val="5B9BD5">
                  <a:alpha val="100000"/>
                </a:srgbClr>
              </a:solidFill>
              <a:ln>
                <a:solidFill>
                  <a:srgbClr val="33CCCC"/>
                </a:solidFill>
                <a:prstDash val="solid"/>
              </a:ln>
            </c:spPr>
          </c:marker>
          <c:trendline>
            <c:spPr>
              <a:prstGeom prst="rect">
                <a:avLst/>
              </a:prstGeom>
              <a:ln w="12700">
                <a:solidFill>
                  <a:srgbClr val="33CCCC"/>
                </a:solidFill>
                <a:prstDash val="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prstGeom prst="rect">
                  <a:avLst/>
                </a:prstGeom>
                <a:noFill/>
                <a:ln w="3175">
                  <a:noFill/>
                </a:ln>
              </c:spPr>
              <c:txPr>
                <a:bodyPr rot="0" vert="horz"/>
                <a:lstStyle/>
                <a:p>
                  <a:pPr>
                    <a:defRPr sz="900" b="0" i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'2H VS 18O'!$D$2:$D$42</c:f>
              <c:numCache>
                <c:formatCode>0.0</c:formatCode>
                <c:ptCount val="41"/>
                <c:pt idx="0">
                  <c:v>-13.945744471034843</c:v>
                </c:pt>
                <c:pt idx="1">
                  <c:v>-12.016750521898249</c:v>
                </c:pt>
                <c:pt idx="2">
                  <c:v>-6.3279254462365753</c:v>
                </c:pt>
                <c:pt idx="3">
                  <c:v>-3.4809048782385181</c:v>
                </c:pt>
                <c:pt idx="4">
                  <c:v>-7.6172407234495534</c:v>
                </c:pt>
                <c:pt idx="5">
                  <c:v>-11.021905559929573</c:v>
                </c:pt>
                <c:pt idx="6">
                  <c:v>-15.260665862616889</c:v>
                </c:pt>
                <c:pt idx="7">
                  <c:v>-8.9198332451501976</c:v>
                </c:pt>
                <c:pt idx="8">
                  <c:v>-4.0807518166991352</c:v>
                </c:pt>
                <c:pt idx="9">
                  <c:v>-6.3198642620833496</c:v>
                </c:pt>
                <c:pt idx="10">
                  <c:v>-3.9465568099130839</c:v>
                </c:pt>
                <c:pt idx="11">
                  <c:v>-5.7845067968485386</c:v>
                </c:pt>
                <c:pt idx="12">
                  <c:v>-3.8403388540117573</c:v>
                </c:pt>
                <c:pt idx="13">
                  <c:v>-5.8067936000956921</c:v>
                </c:pt>
                <c:pt idx="14">
                  <c:v>-4.2656848649201944</c:v>
                </c:pt>
                <c:pt idx="15">
                  <c:v>-15.423786294893926</c:v>
                </c:pt>
                <c:pt idx="16">
                  <c:v>-3.2523465981294137</c:v>
                </c:pt>
                <c:pt idx="17">
                  <c:v>-2.0289433560516343</c:v>
                </c:pt>
                <c:pt idx="18">
                  <c:v>-3.3049813887769459</c:v>
                </c:pt>
                <c:pt idx="19">
                  <c:v>-5.0101589308357424</c:v>
                </c:pt>
                <c:pt idx="20">
                  <c:v>-3.3386486872992416</c:v>
                </c:pt>
                <c:pt idx="21">
                  <c:v>-6.7698680127545945</c:v>
                </c:pt>
                <c:pt idx="22">
                  <c:v>-15.304291094504933</c:v>
                </c:pt>
                <c:pt idx="23">
                  <c:v>-13.413232129618816</c:v>
                </c:pt>
                <c:pt idx="24">
                  <c:v>-8.8121927273394771</c:v>
                </c:pt>
                <c:pt idx="25">
                  <c:v>-4.3462967064524509</c:v>
                </c:pt>
                <c:pt idx="26">
                  <c:v>-1.6050199070525897</c:v>
                </c:pt>
                <c:pt idx="27">
                  <c:v>1.1746660639008766</c:v>
                </c:pt>
                <c:pt idx="28">
                  <c:v>-2.781478606120408</c:v>
                </c:pt>
                <c:pt idx="29">
                  <c:v>-4.6587861392157297</c:v>
                </c:pt>
                <c:pt idx="30">
                  <c:v>-7.4925294627261207</c:v>
                </c:pt>
                <c:pt idx="31">
                  <c:v>-5.8347706509804169</c:v>
                </c:pt>
                <c:pt idx="32">
                  <c:v>-12.168964646203277</c:v>
                </c:pt>
                <c:pt idx="33">
                  <c:v>-11.461003002628809</c:v>
                </c:pt>
                <c:pt idx="34">
                  <c:v>-7.9766746992227917</c:v>
                </c:pt>
                <c:pt idx="35">
                  <c:v>-6.3943116686749049</c:v>
                </c:pt>
                <c:pt idx="36">
                  <c:v>-5.7598490570857308</c:v>
                </c:pt>
                <c:pt idx="37">
                  <c:v>-5.453998246566286</c:v>
                </c:pt>
                <c:pt idx="38">
                  <c:v>-4.5554133071331879</c:v>
                </c:pt>
                <c:pt idx="39">
                  <c:v>-3.7801170665141299</c:v>
                </c:pt>
                <c:pt idx="40">
                  <c:v>-4.383757503399794</c:v>
                </c:pt>
              </c:numCache>
            </c:numRef>
          </c:xVal>
          <c:yVal>
            <c:numRef>
              <c:f>'2H VS 18O'!$B$2:$B$42</c:f>
              <c:numCache>
                <c:formatCode>0.0</c:formatCode>
                <c:ptCount val="41"/>
                <c:pt idx="0">
                  <c:v>-94.38156080074026</c:v>
                </c:pt>
                <c:pt idx="1">
                  <c:v>-75.484374899252543</c:v>
                </c:pt>
                <c:pt idx="2">
                  <c:v>-35.288853420163221</c:v>
                </c:pt>
                <c:pt idx="3">
                  <c:v>-15.713275788621015</c:v>
                </c:pt>
                <c:pt idx="4">
                  <c:v>-53.553901573191084</c:v>
                </c:pt>
                <c:pt idx="5">
                  <c:v>-76.232959075060265</c:v>
                </c:pt>
                <c:pt idx="6">
                  <c:v>-110.41018837</c:v>
                </c:pt>
                <c:pt idx="7">
                  <c:v>-55.503872060417052</c:v>
                </c:pt>
                <c:pt idx="8">
                  <c:v>-20.900619250790008</c:v>
                </c:pt>
                <c:pt idx="9">
                  <c:v>-31.585288999148084</c:v>
                </c:pt>
                <c:pt idx="10">
                  <c:v>-17.342308561449215</c:v>
                </c:pt>
                <c:pt idx="11">
                  <c:v>-28.381592168699413</c:v>
                </c:pt>
                <c:pt idx="12">
                  <c:v>-9.8718847972368309</c:v>
                </c:pt>
                <c:pt idx="13">
                  <c:v>-32.530249728392633</c:v>
                </c:pt>
                <c:pt idx="14">
                  <c:v>-13.435064326745479</c:v>
                </c:pt>
                <c:pt idx="15">
                  <c:v>-114.93902119946658</c:v>
                </c:pt>
                <c:pt idx="16">
                  <c:v>-6.7189050518699851</c:v>
                </c:pt>
                <c:pt idx="17">
                  <c:v>-16.660265201268849</c:v>
                </c:pt>
                <c:pt idx="18">
                  <c:v>-23.825980718309637</c:v>
                </c:pt>
                <c:pt idx="19">
                  <c:v>-24.538860066219748</c:v>
                </c:pt>
                <c:pt idx="20">
                  <c:v>-10.139671006468859</c:v>
                </c:pt>
                <c:pt idx="21">
                  <c:v>-39.185142764489292</c:v>
                </c:pt>
                <c:pt idx="22">
                  <c:v>-109.50904720226615</c:v>
                </c:pt>
                <c:pt idx="23">
                  <c:v>-94.613236445394023</c:v>
                </c:pt>
                <c:pt idx="24">
                  <c:v>-56.182263790471538</c:v>
                </c:pt>
                <c:pt idx="25">
                  <c:v>-11.46602421552873</c:v>
                </c:pt>
                <c:pt idx="26">
                  <c:v>-3.8819941807330558</c:v>
                </c:pt>
                <c:pt idx="27">
                  <c:v>9.7231681949767967</c:v>
                </c:pt>
                <c:pt idx="28">
                  <c:v>-12.144010208902554</c:v>
                </c:pt>
                <c:pt idx="29">
                  <c:v>-23.621489431259715</c:v>
                </c:pt>
                <c:pt idx="30">
                  <c:v>-43.949708605416191</c:v>
                </c:pt>
                <c:pt idx="31">
                  <c:v>-34.380003255496931</c:v>
                </c:pt>
                <c:pt idx="32">
                  <c:v>-90.456869888768367</c:v>
                </c:pt>
                <c:pt idx="33">
                  <c:v>-76.389979170473595</c:v>
                </c:pt>
                <c:pt idx="34">
                  <c:v>-51.855082091290285</c:v>
                </c:pt>
                <c:pt idx="35">
                  <c:v>-30.740950966705874</c:v>
                </c:pt>
                <c:pt idx="36">
                  <c:v>-24.39279486118409</c:v>
                </c:pt>
                <c:pt idx="37">
                  <c:v>-29.110700983835716</c:v>
                </c:pt>
                <c:pt idx="38">
                  <c:v>-15.921418705796825</c:v>
                </c:pt>
                <c:pt idx="39">
                  <c:v>-14.428713457668572</c:v>
                </c:pt>
                <c:pt idx="40">
                  <c:v>-14.848650922146089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78-44DE-ABA8-79A429BFA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4442"/>
        <c:axId val="33554443"/>
      </c:scatterChart>
      <c:valAx>
        <c:axId val="33554442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43"/>
        <c:crosses val="autoZero"/>
        <c:crossBetween val="midCat"/>
      </c:valAx>
      <c:valAx>
        <c:axId val="33554443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3175">
              <a:solidFill>
                <a:srgbClr val="C0C0C0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spPr>
          <a:prstGeom prst="rect">
            <a:avLst/>
          </a:prstGeom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54442"/>
        <c:crosses val="autoZero"/>
        <c:crossBetween val="midCat"/>
      </c:valAx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rgbClr val="FFFFFF"/>
    </a:solidFill>
    <a:ln w="3175">
      <a:solidFill>
        <a:srgbClr val="C0C0C0"/>
      </a:solidFill>
      <a:prstDash val="solid"/>
    </a:ln>
  </c:spPr>
  <c:txPr>
    <a:bodyPr rot="0" vert="horz"/>
    <a:lstStyle/>
    <a:p>
      <a:pPr>
        <a:defRPr sz="1000" b="0" i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281433</xdr:colOff>
      <xdr:row>12</xdr:row>
      <xdr:rowOff>142949</xdr:rowOff>
    </xdr:from>
    <xdr:to>
      <xdr:col>27</xdr:col>
      <xdr:colOff>435768</xdr:colOff>
      <xdr:row>357</xdr:row>
      <xdr:rowOff>114485</xdr:rowOff>
    </xdr:to>
    <xdr:graphicFrame macro="">
      <xdr:nvGraphicFramePr>
        <xdr:cNvPr id="3099" name="Chart 1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575071</xdr:colOff>
      <xdr:row>1</xdr:row>
      <xdr:rowOff>75902</xdr:rowOff>
    </xdr:from>
    <xdr:to>
      <xdr:col>16</xdr:col>
      <xdr:colOff>246459</xdr:colOff>
      <xdr:row>18</xdr:row>
      <xdr:rowOff>66414</xdr:rowOff>
    </xdr:to>
    <xdr:graphicFrame macro="">
      <xdr:nvGraphicFramePr>
        <xdr:cNvPr id="2071" name="Chart 1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585341</xdr:colOff>
      <xdr:row>19</xdr:row>
      <xdr:rowOff>37951</xdr:rowOff>
    </xdr:from>
    <xdr:to>
      <xdr:col>16</xdr:col>
      <xdr:colOff>256728</xdr:colOff>
      <xdr:row>36</xdr:row>
      <xdr:rowOff>32146</xdr:rowOff>
    </xdr:to>
    <xdr:graphicFrame macro="">
      <xdr:nvGraphicFramePr>
        <xdr:cNvPr id="2072" name="Chart 2">
          <a:extLst>
            <a:ext uri="{FF2B5EF4-FFF2-40B4-BE49-F238E27FC236}">
              <a16:creationId xmlns:a16="http://schemas.microsoft.com/office/drawing/2014/main" id="{00000000-0008-0000-0200-000018080000}"/>
            </a:ext>
            <a:ext uri="{147F2762-F138-4A5C-976F-8EAC2B608ADB}">
              <a16:predDERef xmlns:a16="http://schemas.microsoft.com/office/drawing/2014/main" pred="{00000000-0008-0000-0200-00001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837995</xdr:colOff>
      <xdr:row>2</xdr:row>
      <xdr:rowOff>75902</xdr:rowOff>
    </xdr:from>
    <xdr:to>
      <xdr:col>15</xdr:col>
      <xdr:colOff>388813</xdr:colOff>
      <xdr:row>19</xdr:row>
      <xdr:rowOff>66414</xdr:rowOff>
    </xdr:to>
    <xdr:graphicFrame macro="">
      <xdr:nvGraphicFramePr>
        <xdr:cNvPr id="16393" name="Chart 1">
          <a:extLst>
            <a:ext uri="{FF2B5EF4-FFF2-40B4-BE49-F238E27FC236}">
              <a16:creationId xmlns:a16="http://schemas.microsoft.com/office/drawing/2014/main" id="{00000000-0008-0000-0500-000009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837995</xdr:colOff>
      <xdr:row>2</xdr:row>
      <xdr:rowOff>75902</xdr:rowOff>
    </xdr:from>
    <xdr:to>
      <xdr:col>15</xdr:col>
      <xdr:colOff>388813</xdr:colOff>
      <xdr:row>19</xdr:row>
      <xdr:rowOff>66414</xdr:rowOff>
    </xdr:to>
    <xdr:graphicFrame macro="">
      <xdr:nvGraphicFramePr>
        <xdr:cNvPr id="29702" name="Chart 1">
          <a:extLst>
            <a:ext uri="{FF2B5EF4-FFF2-40B4-BE49-F238E27FC236}">
              <a16:creationId xmlns:a16="http://schemas.microsoft.com/office/drawing/2014/main" id="{00000000-0008-0000-06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178891</xdr:colOff>
      <xdr:row>2</xdr:row>
      <xdr:rowOff>114522</xdr:rowOff>
    </xdr:from>
    <xdr:to>
      <xdr:col>13</xdr:col>
      <xdr:colOff>507503</xdr:colOff>
      <xdr:row>19</xdr:row>
      <xdr:rowOff>105034</xdr:rowOff>
    </xdr:to>
    <xdr:graphicFrame macro="">
      <xdr:nvGraphicFramePr>
        <xdr:cNvPr id="47107" name="Chart 1">
          <a:extLst>
            <a:ext uri="{FF2B5EF4-FFF2-40B4-BE49-F238E27FC236}">
              <a16:creationId xmlns:a16="http://schemas.microsoft.com/office/drawing/2014/main" id="{00000000-0008-0000-0700-000003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9"/>
  <sheetViews>
    <sheetView workbookViewId="0"/>
  </sheetViews>
  <sheetFormatPr defaultRowHeight="12.75" customHeight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>
        <v>1</v>
      </c>
      <c r="D2" s="1" t="s">
        <v>16</v>
      </c>
      <c r="E2" s="1"/>
      <c r="F2" s="1"/>
      <c r="G2" s="1"/>
      <c r="H2" s="1">
        <v>1</v>
      </c>
      <c r="I2" s="1">
        <v>2632</v>
      </c>
      <c r="J2" s="1">
        <v>47.588999999999999</v>
      </c>
      <c r="K2" s="1">
        <v>815</v>
      </c>
      <c r="L2" s="1">
        <v>1.4E-2</v>
      </c>
      <c r="M2" s="1">
        <v>3.1179999999999999E-4</v>
      </c>
      <c r="N2" s="1">
        <v>1.032</v>
      </c>
    </row>
    <row r="3" spans="1:14">
      <c r="A3" s="1" t="s">
        <v>14</v>
      </c>
      <c r="B3" s="1" t="s">
        <v>15</v>
      </c>
      <c r="C3" s="1">
        <v>1</v>
      </c>
      <c r="D3" s="1" t="s">
        <v>16</v>
      </c>
      <c r="E3" s="1"/>
      <c r="F3" s="1"/>
      <c r="G3" s="1"/>
      <c r="H3" s="1">
        <v>2</v>
      </c>
      <c r="I3" s="1">
        <v>2633</v>
      </c>
      <c r="J3" s="1">
        <v>48.738999999999997</v>
      </c>
      <c r="K3" s="1">
        <v>814</v>
      </c>
      <c r="L3" s="1">
        <v>1.4E-2</v>
      </c>
      <c r="M3" s="1">
        <v>3.1149999999999998E-4</v>
      </c>
      <c r="N3" s="1">
        <v>0</v>
      </c>
    </row>
    <row r="4" spans="1:14">
      <c r="A4" s="1" t="s">
        <v>14</v>
      </c>
      <c r="B4" s="1" t="s">
        <v>15</v>
      </c>
      <c r="C4" s="1">
        <v>1</v>
      </c>
      <c r="D4" s="1" t="s">
        <v>16</v>
      </c>
      <c r="E4" s="1"/>
      <c r="F4" s="1"/>
      <c r="G4" s="1"/>
      <c r="H4" s="1">
        <v>3</v>
      </c>
      <c r="I4" s="1">
        <v>2766</v>
      </c>
      <c r="J4" s="1">
        <v>23.81</v>
      </c>
      <c r="K4" s="1">
        <v>1065</v>
      </c>
      <c r="L4" s="1">
        <v>8.9999999999999993E-3</v>
      </c>
      <c r="M4" s="1">
        <v>3.904E-4</v>
      </c>
      <c r="N4" s="1">
        <v>253.256</v>
      </c>
    </row>
    <row r="5" spans="1:14">
      <c r="A5" s="1" t="s">
        <v>14</v>
      </c>
      <c r="B5" s="1" t="s">
        <v>17</v>
      </c>
      <c r="C5" s="1">
        <v>2</v>
      </c>
      <c r="D5" s="1" t="s">
        <v>16</v>
      </c>
      <c r="E5" s="1"/>
      <c r="F5" s="1"/>
      <c r="G5" s="1"/>
      <c r="H5" s="1">
        <v>1</v>
      </c>
      <c r="I5" s="1">
        <v>2645</v>
      </c>
      <c r="J5" s="1">
        <v>47.895000000000003</v>
      </c>
      <c r="K5" s="1">
        <v>817</v>
      </c>
      <c r="L5" s="1">
        <v>1.4E-2</v>
      </c>
      <c r="M5" s="1">
        <v>3.1129999999999998E-4</v>
      </c>
      <c r="N5" s="1">
        <v>-0.55500000000000005</v>
      </c>
    </row>
    <row r="6" spans="1:14">
      <c r="A6" s="1" t="s">
        <v>14</v>
      </c>
      <c r="B6" s="1" t="s">
        <v>17</v>
      </c>
      <c r="C6" s="1">
        <v>2</v>
      </c>
      <c r="D6" s="1" t="s">
        <v>16</v>
      </c>
      <c r="E6" s="1"/>
      <c r="F6" s="1"/>
      <c r="G6" s="1"/>
      <c r="H6" s="1">
        <v>2</v>
      </c>
      <c r="I6" s="1">
        <v>2643</v>
      </c>
      <c r="J6" s="1">
        <v>48.85</v>
      </c>
      <c r="K6" s="1">
        <v>817</v>
      </c>
      <c r="L6" s="1">
        <v>1.4E-2</v>
      </c>
      <c r="M6" s="1">
        <v>3.1149999999999998E-4</v>
      </c>
      <c r="N6" s="1">
        <v>0</v>
      </c>
    </row>
    <row r="7" spans="1:14">
      <c r="A7" s="1" t="s">
        <v>14</v>
      </c>
      <c r="B7" s="1" t="s">
        <v>17</v>
      </c>
      <c r="C7" s="1">
        <v>2</v>
      </c>
      <c r="D7" s="1" t="s">
        <v>16</v>
      </c>
      <c r="E7" s="1"/>
      <c r="F7" s="1"/>
      <c r="G7" s="1"/>
      <c r="H7" s="1">
        <v>3</v>
      </c>
      <c r="I7" s="1">
        <v>2766</v>
      </c>
      <c r="J7" s="1">
        <v>23.738</v>
      </c>
      <c r="K7" s="1">
        <v>1064</v>
      </c>
      <c r="L7" s="1">
        <v>8.9999999999999993E-3</v>
      </c>
      <c r="M7" s="1">
        <v>3.9090000000000001E-4</v>
      </c>
      <c r="N7" s="1">
        <v>254.87700000000001</v>
      </c>
    </row>
    <row r="8" spans="1:14">
      <c r="A8" s="1" t="s">
        <v>14</v>
      </c>
      <c r="B8" s="1" t="s">
        <v>18</v>
      </c>
      <c r="C8" s="1">
        <v>3</v>
      </c>
      <c r="D8" s="1" t="s">
        <v>16</v>
      </c>
      <c r="E8" s="1"/>
      <c r="F8" s="1"/>
      <c r="G8" s="1"/>
      <c r="H8" s="1">
        <v>1</v>
      </c>
      <c r="I8" s="1">
        <v>2646</v>
      </c>
      <c r="J8" s="1">
        <v>47.862000000000002</v>
      </c>
      <c r="K8" s="1">
        <v>819</v>
      </c>
      <c r="L8" s="1">
        <v>1.4E-2</v>
      </c>
      <c r="M8" s="1">
        <v>3.1149999999999998E-4</v>
      </c>
      <c r="N8" s="1">
        <v>0.113</v>
      </c>
    </row>
    <row r="9" spans="1:14">
      <c r="A9" s="1" t="s">
        <v>14</v>
      </c>
      <c r="B9" s="1" t="s">
        <v>18</v>
      </c>
      <c r="C9" s="1">
        <v>3</v>
      </c>
      <c r="D9" s="1" t="s">
        <v>16</v>
      </c>
      <c r="E9" s="1"/>
      <c r="F9" s="1"/>
      <c r="G9" s="1"/>
      <c r="H9" s="1">
        <v>2</v>
      </c>
      <c r="I9" s="1">
        <v>2647</v>
      </c>
      <c r="J9" s="1">
        <v>48.970999999999997</v>
      </c>
      <c r="K9" s="1">
        <v>819</v>
      </c>
      <c r="L9" s="1">
        <v>1.4E-2</v>
      </c>
      <c r="M9" s="1">
        <v>3.1149999999999998E-4</v>
      </c>
      <c r="N9" s="1">
        <v>0</v>
      </c>
    </row>
    <row r="10" spans="1:14">
      <c r="A10" s="1" t="s">
        <v>14</v>
      </c>
      <c r="B10" s="1" t="s">
        <v>18</v>
      </c>
      <c r="C10" s="1">
        <v>3</v>
      </c>
      <c r="D10" s="1" t="s">
        <v>16</v>
      </c>
      <c r="E10" s="1"/>
      <c r="F10" s="1"/>
      <c r="G10" s="1"/>
      <c r="H10" s="1">
        <v>3</v>
      </c>
      <c r="I10" s="1">
        <v>2775</v>
      </c>
      <c r="J10" s="1">
        <v>23.765000000000001</v>
      </c>
      <c r="K10" s="1">
        <v>1069</v>
      </c>
      <c r="L10" s="1">
        <v>8.9999999999999993E-3</v>
      </c>
      <c r="M10" s="1">
        <v>3.903E-4</v>
      </c>
      <c r="N10" s="1">
        <v>252.97</v>
      </c>
    </row>
    <row r="11" spans="1:14">
      <c r="A11" s="1" t="s">
        <v>14</v>
      </c>
      <c r="B11" s="1" t="s">
        <v>19</v>
      </c>
      <c r="C11" s="1">
        <v>4</v>
      </c>
      <c r="D11" s="1" t="s">
        <v>20</v>
      </c>
      <c r="E11" s="1"/>
      <c r="F11" s="1"/>
      <c r="G11" s="1"/>
      <c r="H11" s="1">
        <v>1</v>
      </c>
      <c r="I11" s="1">
        <v>2653</v>
      </c>
      <c r="J11" s="1">
        <v>47.997</v>
      </c>
      <c r="K11" s="1">
        <v>822</v>
      </c>
      <c r="L11" s="1">
        <v>1.4E-2</v>
      </c>
      <c r="M11" s="1">
        <v>3.1149999999999998E-4</v>
      </c>
      <c r="N11" s="1">
        <v>-0.09</v>
      </c>
    </row>
    <row r="12" spans="1:14">
      <c r="A12" s="1" t="s">
        <v>14</v>
      </c>
      <c r="B12" s="1" t="s">
        <v>19</v>
      </c>
      <c r="C12" s="1">
        <v>4</v>
      </c>
      <c r="D12" s="1" t="s">
        <v>20</v>
      </c>
      <c r="E12" s="1"/>
      <c r="F12" s="1"/>
      <c r="G12" s="1"/>
      <c r="H12" s="1">
        <v>2</v>
      </c>
      <c r="I12" s="1">
        <v>2657</v>
      </c>
      <c r="J12" s="1">
        <v>49.195</v>
      </c>
      <c r="K12" s="1">
        <v>822</v>
      </c>
      <c r="L12" s="1">
        <v>1.4E-2</v>
      </c>
      <c r="M12" s="1">
        <v>3.1149999999999998E-4</v>
      </c>
      <c r="N12" s="1">
        <v>0</v>
      </c>
    </row>
    <row r="13" spans="1:14">
      <c r="A13" s="1" t="s">
        <v>14</v>
      </c>
      <c r="B13" s="1" t="s">
        <v>19</v>
      </c>
      <c r="C13" s="1">
        <v>4</v>
      </c>
      <c r="D13" s="1" t="s">
        <v>20</v>
      </c>
      <c r="E13" s="1"/>
      <c r="F13" s="1"/>
      <c r="G13" s="1"/>
      <c r="H13" s="1">
        <v>3</v>
      </c>
      <c r="I13" s="1">
        <v>2785</v>
      </c>
      <c r="J13" s="1">
        <v>23.623000000000001</v>
      </c>
      <c r="K13" s="1">
        <v>1036</v>
      </c>
      <c r="L13" s="1">
        <v>8.0000000000000002E-3</v>
      </c>
      <c r="M13" s="1">
        <v>3.7619999999999998E-4</v>
      </c>
      <c r="N13" s="1">
        <v>207.583</v>
      </c>
    </row>
    <row r="14" spans="1:14">
      <c r="A14" s="1" t="s">
        <v>14</v>
      </c>
      <c r="B14" s="1" t="s">
        <v>21</v>
      </c>
      <c r="C14" s="1">
        <v>5</v>
      </c>
      <c r="D14" s="1" t="s">
        <v>20</v>
      </c>
      <c r="E14" s="1"/>
      <c r="F14" s="1"/>
      <c r="G14" s="1"/>
      <c r="H14" s="1">
        <v>1</v>
      </c>
      <c r="I14" s="1">
        <v>2643</v>
      </c>
      <c r="J14" s="1">
        <v>47.808999999999997</v>
      </c>
      <c r="K14" s="1">
        <v>818</v>
      </c>
      <c r="L14" s="1">
        <v>1.4E-2</v>
      </c>
      <c r="M14" s="1">
        <v>3.1129999999999998E-4</v>
      </c>
      <c r="N14" s="1">
        <v>-0.752</v>
      </c>
    </row>
    <row r="15" spans="1:14">
      <c r="A15" s="1" t="s">
        <v>14</v>
      </c>
      <c r="B15" s="1" t="s">
        <v>21</v>
      </c>
      <c r="C15" s="1">
        <v>5</v>
      </c>
      <c r="D15" s="1" t="s">
        <v>20</v>
      </c>
      <c r="E15" s="1"/>
      <c r="F15" s="1"/>
      <c r="G15" s="1"/>
      <c r="H15" s="1">
        <v>2</v>
      </c>
      <c r="I15" s="1">
        <v>2645</v>
      </c>
      <c r="J15" s="1">
        <v>48.7</v>
      </c>
      <c r="K15" s="1">
        <v>818</v>
      </c>
      <c r="L15" s="1">
        <v>1.4E-2</v>
      </c>
      <c r="M15" s="1">
        <v>3.1149999999999998E-4</v>
      </c>
      <c r="N15" s="1">
        <v>0</v>
      </c>
    </row>
    <row r="16" spans="1:14">
      <c r="A16" s="1" t="s">
        <v>14</v>
      </c>
      <c r="B16" s="1" t="s">
        <v>21</v>
      </c>
      <c r="C16" s="1">
        <v>5</v>
      </c>
      <c r="D16" s="1" t="s">
        <v>20</v>
      </c>
      <c r="E16" s="1"/>
      <c r="F16" s="1"/>
      <c r="G16" s="1"/>
      <c r="H16" s="1">
        <v>3</v>
      </c>
      <c r="I16" s="1">
        <v>2838</v>
      </c>
      <c r="J16" s="1">
        <v>24.614000000000001</v>
      </c>
      <c r="K16" s="1">
        <v>1057</v>
      </c>
      <c r="L16" s="1">
        <v>8.9999999999999993E-3</v>
      </c>
      <c r="M16" s="1">
        <v>3.768E-4</v>
      </c>
      <c r="N16" s="1">
        <v>209.739</v>
      </c>
    </row>
    <row r="17" spans="1:14">
      <c r="A17" s="1" t="s">
        <v>14</v>
      </c>
      <c r="B17" s="1" t="s">
        <v>22</v>
      </c>
      <c r="C17" s="1">
        <v>6</v>
      </c>
      <c r="D17" s="1" t="s">
        <v>20</v>
      </c>
      <c r="E17" s="1"/>
      <c r="F17" s="1"/>
      <c r="G17" s="1"/>
      <c r="H17" s="1">
        <v>1</v>
      </c>
      <c r="I17" s="1">
        <v>2649</v>
      </c>
      <c r="J17" s="1">
        <v>47.792999999999999</v>
      </c>
      <c r="K17" s="1">
        <v>820</v>
      </c>
      <c r="L17" s="1">
        <v>1.4E-2</v>
      </c>
      <c r="M17" s="1">
        <v>3.1129999999999998E-4</v>
      </c>
      <c r="N17" s="1">
        <v>-0.61299999999999999</v>
      </c>
    </row>
    <row r="18" spans="1:14">
      <c r="A18" s="1" t="s">
        <v>14</v>
      </c>
      <c r="B18" s="1" t="s">
        <v>22</v>
      </c>
      <c r="C18" s="1">
        <v>6</v>
      </c>
      <c r="D18" s="1" t="s">
        <v>20</v>
      </c>
      <c r="E18" s="1"/>
      <c r="F18" s="1"/>
      <c r="G18" s="1"/>
      <c r="H18" s="1">
        <v>2</v>
      </c>
      <c r="I18" s="1">
        <v>2646</v>
      </c>
      <c r="J18" s="1">
        <v>48.976999999999997</v>
      </c>
      <c r="K18" s="1">
        <v>818</v>
      </c>
      <c r="L18" s="1">
        <v>1.4E-2</v>
      </c>
      <c r="M18" s="1">
        <v>3.1149999999999998E-4</v>
      </c>
      <c r="N18" s="1">
        <v>0</v>
      </c>
    </row>
    <row r="19" spans="1:14">
      <c r="A19" s="1" t="s">
        <v>14</v>
      </c>
      <c r="B19" s="1" t="s">
        <v>22</v>
      </c>
      <c r="C19" s="1">
        <v>6</v>
      </c>
      <c r="D19" s="1" t="s">
        <v>20</v>
      </c>
      <c r="E19" s="1"/>
      <c r="F19" s="1"/>
      <c r="G19" s="1"/>
      <c r="H19" s="1">
        <v>3</v>
      </c>
      <c r="I19" s="1">
        <v>2896</v>
      </c>
      <c r="J19" s="1">
        <v>24.905999999999999</v>
      </c>
      <c r="K19" s="1">
        <v>1078</v>
      </c>
      <c r="L19" s="1">
        <v>8.9999999999999993E-3</v>
      </c>
      <c r="M19" s="1">
        <v>3.7609999999999998E-4</v>
      </c>
      <c r="N19" s="1">
        <v>207.52799999999999</v>
      </c>
    </row>
    <row r="20" spans="1:14">
      <c r="A20" s="1" t="s">
        <v>14</v>
      </c>
      <c r="B20" s="1" t="s">
        <v>23</v>
      </c>
      <c r="C20" s="1">
        <v>7</v>
      </c>
      <c r="D20" s="1" t="s">
        <v>24</v>
      </c>
      <c r="E20" s="1"/>
      <c r="F20" s="1"/>
      <c r="G20" s="1"/>
      <c r="H20" s="1">
        <v>1</v>
      </c>
      <c r="I20" s="1">
        <v>2647</v>
      </c>
      <c r="J20" s="1">
        <v>47.783999999999999</v>
      </c>
      <c r="K20" s="1">
        <v>819</v>
      </c>
      <c r="L20" s="1">
        <v>1.4E-2</v>
      </c>
      <c r="M20" s="1">
        <v>3.1159999999999998E-4</v>
      </c>
      <c r="N20" s="1">
        <v>0.34599999999999997</v>
      </c>
    </row>
    <row r="21" spans="1:14">
      <c r="A21" s="1" t="s">
        <v>14</v>
      </c>
      <c r="B21" s="1" t="s">
        <v>23</v>
      </c>
      <c r="C21" s="1">
        <v>7</v>
      </c>
      <c r="D21" s="1" t="s">
        <v>24</v>
      </c>
      <c r="E21" s="1"/>
      <c r="F21" s="1"/>
      <c r="G21" s="1"/>
      <c r="H21" s="1">
        <v>2</v>
      </c>
      <c r="I21" s="1">
        <v>2647</v>
      </c>
      <c r="J21" s="1">
        <v>48.973999999999997</v>
      </c>
      <c r="K21" s="1">
        <v>820</v>
      </c>
      <c r="L21" s="1">
        <v>1.4E-2</v>
      </c>
      <c r="M21" s="1">
        <v>3.1149999999999998E-4</v>
      </c>
      <c r="N21" s="1">
        <v>0</v>
      </c>
    </row>
    <row r="22" spans="1:14">
      <c r="A22" s="1" t="s">
        <v>14</v>
      </c>
      <c r="B22" s="1" t="s">
        <v>23</v>
      </c>
      <c r="C22" s="1">
        <v>7</v>
      </c>
      <c r="D22" s="1" t="s">
        <v>24</v>
      </c>
      <c r="E22" s="1"/>
      <c r="F22" s="1"/>
      <c r="G22" s="1"/>
      <c r="H22" s="1">
        <v>3</v>
      </c>
      <c r="I22" s="1">
        <v>2845</v>
      </c>
      <c r="J22" s="1">
        <v>24.728000000000002</v>
      </c>
      <c r="K22" s="1">
        <v>1026</v>
      </c>
      <c r="L22" s="1">
        <v>8.0000000000000002E-3</v>
      </c>
      <c r="M22" s="1">
        <v>3.636E-4</v>
      </c>
      <c r="N22" s="1">
        <v>167.18199999999999</v>
      </c>
    </row>
    <row r="23" spans="1:14">
      <c r="A23" s="1" t="s">
        <v>14</v>
      </c>
      <c r="B23" s="1" t="s">
        <v>25</v>
      </c>
      <c r="C23" s="1">
        <v>8</v>
      </c>
      <c r="D23" s="1" t="s">
        <v>24</v>
      </c>
      <c r="E23" s="1"/>
      <c r="F23" s="1"/>
      <c r="G23" s="1"/>
      <c r="H23" s="1">
        <v>1</v>
      </c>
      <c r="I23" s="1">
        <v>2642</v>
      </c>
      <c r="J23" s="1">
        <v>47.847000000000001</v>
      </c>
      <c r="K23" s="1">
        <v>819</v>
      </c>
      <c r="L23" s="1">
        <v>1.4E-2</v>
      </c>
      <c r="M23" s="1">
        <v>3.1110000000000003E-4</v>
      </c>
      <c r="N23" s="1">
        <v>-1.1339999999999999</v>
      </c>
    </row>
    <row r="24" spans="1:14">
      <c r="A24" s="1" t="s">
        <v>14</v>
      </c>
      <c r="B24" s="1" t="s">
        <v>25</v>
      </c>
      <c r="C24" s="1">
        <v>8</v>
      </c>
      <c r="D24" s="1" t="s">
        <v>24</v>
      </c>
      <c r="E24" s="1"/>
      <c r="F24" s="1"/>
      <c r="G24" s="1"/>
      <c r="H24" s="1">
        <v>2</v>
      </c>
      <c r="I24" s="1">
        <v>2648</v>
      </c>
      <c r="J24" s="1">
        <v>49.085000000000001</v>
      </c>
      <c r="K24" s="1">
        <v>821</v>
      </c>
      <c r="L24" s="1">
        <v>1.4E-2</v>
      </c>
      <c r="M24" s="1">
        <v>3.1149999999999998E-4</v>
      </c>
      <c r="N24" s="1">
        <v>0</v>
      </c>
    </row>
    <row r="25" spans="1:14">
      <c r="A25" s="1" t="s">
        <v>14</v>
      </c>
      <c r="B25" s="1" t="s">
        <v>25</v>
      </c>
      <c r="C25" s="1">
        <v>8</v>
      </c>
      <c r="D25" s="1" t="s">
        <v>24</v>
      </c>
      <c r="E25" s="1"/>
      <c r="F25" s="1"/>
      <c r="G25" s="1"/>
      <c r="H25" s="1">
        <v>3</v>
      </c>
      <c r="I25" s="1">
        <v>2815</v>
      </c>
      <c r="J25" s="1">
        <v>24.37</v>
      </c>
      <c r="K25" s="1">
        <v>1012</v>
      </c>
      <c r="L25" s="1">
        <v>8.0000000000000002E-3</v>
      </c>
      <c r="M25" s="1">
        <v>3.6269999999999998E-4</v>
      </c>
      <c r="N25" s="1">
        <v>164.245</v>
      </c>
    </row>
    <row r="26" spans="1:14">
      <c r="A26" s="1" t="s">
        <v>14</v>
      </c>
      <c r="B26" s="1" t="s">
        <v>26</v>
      </c>
      <c r="C26" s="1">
        <v>9</v>
      </c>
      <c r="D26" s="1" t="s">
        <v>24</v>
      </c>
      <c r="E26" s="1"/>
      <c r="F26" s="1"/>
      <c r="G26" s="1"/>
      <c r="H26" s="1">
        <v>1</v>
      </c>
      <c r="I26" s="1">
        <v>2646</v>
      </c>
      <c r="J26" s="1">
        <v>47.765999999999998</v>
      </c>
      <c r="K26" s="1">
        <v>818</v>
      </c>
      <c r="L26" s="1">
        <v>1.4E-2</v>
      </c>
      <c r="M26" s="1">
        <v>3.1159999999999998E-4</v>
      </c>
      <c r="N26" s="1">
        <v>0.186</v>
      </c>
    </row>
    <row r="27" spans="1:14">
      <c r="A27" s="1" t="s">
        <v>14</v>
      </c>
      <c r="B27" s="1" t="s">
        <v>26</v>
      </c>
      <c r="C27" s="1">
        <v>9</v>
      </c>
      <c r="D27" s="1" t="s">
        <v>24</v>
      </c>
      <c r="E27" s="1"/>
      <c r="F27" s="1"/>
      <c r="G27" s="1"/>
      <c r="H27" s="1">
        <v>2</v>
      </c>
      <c r="I27" s="1">
        <v>2644</v>
      </c>
      <c r="J27" s="1">
        <v>48.965000000000003</v>
      </c>
      <c r="K27" s="1">
        <v>818</v>
      </c>
      <c r="L27" s="1">
        <v>1.4E-2</v>
      </c>
      <c r="M27" s="1">
        <v>3.1149999999999998E-4</v>
      </c>
      <c r="N27" s="1">
        <v>0</v>
      </c>
    </row>
    <row r="28" spans="1:14">
      <c r="A28" s="1" t="s">
        <v>14</v>
      </c>
      <c r="B28" s="1" t="s">
        <v>26</v>
      </c>
      <c r="C28" s="1">
        <v>9</v>
      </c>
      <c r="D28" s="1" t="s">
        <v>24</v>
      </c>
      <c r="E28" s="1"/>
      <c r="F28" s="1"/>
      <c r="G28" s="1"/>
      <c r="H28" s="1">
        <v>3</v>
      </c>
      <c r="I28" s="1">
        <v>2775</v>
      </c>
      <c r="J28" s="1">
        <v>23.885000000000002</v>
      </c>
      <c r="K28" s="1">
        <v>999</v>
      </c>
      <c r="L28" s="1">
        <v>8.0000000000000002E-3</v>
      </c>
      <c r="M28" s="1">
        <v>3.6329999999999999E-4</v>
      </c>
      <c r="N28" s="1">
        <v>166.37100000000001</v>
      </c>
    </row>
    <row r="29" spans="1:14">
      <c r="A29" s="1" t="s">
        <v>14</v>
      </c>
      <c r="B29" s="1" t="s">
        <v>27</v>
      </c>
      <c r="C29" s="1">
        <v>10</v>
      </c>
      <c r="D29" s="1" t="s">
        <v>28</v>
      </c>
      <c r="E29" s="1"/>
      <c r="F29" s="1"/>
      <c r="G29" s="1"/>
      <c r="H29" s="1">
        <v>1</v>
      </c>
      <c r="I29" s="1">
        <v>2647</v>
      </c>
      <c r="J29" s="1">
        <v>47.801000000000002</v>
      </c>
      <c r="K29" s="1">
        <v>818</v>
      </c>
      <c r="L29" s="1">
        <v>1.4E-2</v>
      </c>
      <c r="M29" s="1">
        <v>3.1139999999999998E-4</v>
      </c>
      <c r="N29" s="1">
        <v>-0.19500000000000001</v>
      </c>
    </row>
    <row r="30" spans="1:14">
      <c r="A30" s="1" t="s">
        <v>14</v>
      </c>
      <c r="B30" s="1" t="s">
        <v>27</v>
      </c>
      <c r="C30" s="1">
        <v>10</v>
      </c>
      <c r="D30" s="1" t="s">
        <v>28</v>
      </c>
      <c r="E30" s="1"/>
      <c r="F30" s="1"/>
      <c r="G30" s="1"/>
      <c r="H30" s="1">
        <v>2</v>
      </c>
      <c r="I30" s="1">
        <v>2644</v>
      </c>
      <c r="J30" s="1">
        <v>48.994999999999997</v>
      </c>
      <c r="K30" s="1">
        <v>818</v>
      </c>
      <c r="L30" s="1">
        <v>1.4E-2</v>
      </c>
      <c r="M30" s="1">
        <v>3.1149999999999998E-4</v>
      </c>
      <c r="N30" s="1">
        <v>0</v>
      </c>
    </row>
    <row r="31" spans="1:14">
      <c r="A31" s="1" t="s">
        <v>14</v>
      </c>
      <c r="B31" s="1" t="s">
        <v>27</v>
      </c>
      <c r="C31" s="1">
        <v>10</v>
      </c>
      <c r="D31" s="1" t="s">
        <v>28</v>
      </c>
      <c r="E31" s="1"/>
      <c r="F31" s="1"/>
      <c r="G31" s="1"/>
      <c r="H31" s="1">
        <v>3</v>
      </c>
      <c r="I31" s="1">
        <v>2788</v>
      </c>
      <c r="J31" s="1">
        <v>24.300999999999998</v>
      </c>
      <c r="K31" s="1">
        <v>983</v>
      </c>
      <c r="L31" s="1">
        <v>8.0000000000000002E-3</v>
      </c>
      <c r="M31" s="1">
        <v>3.5560000000000002E-4</v>
      </c>
      <c r="N31" s="1">
        <v>141.55099999999999</v>
      </c>
    </row>
    <row r="32" spans="1:14">
      <c r="A32" s="1" t="s">
        <v>14</v>
      </c>
      <c r="B32" s="1" t="s">
        <v>29</v>
      </c>
      <c r="C32" s="1">
        <v>11</v>
      </c>
      <c r="D32" s="1" t="s">
        <v>28</v>
      </c>
      <c r="E32" s="1"/>
      <c r="F32" s="1"/>
      <c r="G32" s="1"/>
      <c r="H32" s="1">
        <v>1</v>
      </c>
      <c r="I32" s="1">
        <v>2642</v>
      </c>
      <c r="J32" s="1">
        <v>47.991999999999997</v>
      </c>
      <c r="K32" s="1">
        <v>817</v>
      </c>
      <c r="L32" s="1">
        <v>1.4E-2</v>
      </c>
      <c r="M32" s="1">
        <v>3.1100000000000002E-4</v>
      </c>
      <c r="N32" s="1">
        <v>-1.5569999999999999</v>
      </c>
    </row>
    <row r="33" spans="1:14">
      <c r="A33" s="1" t="s">
        <v>14</v>
      </c>
      <c r="B33" s="1" t="s">
        <v>29</v>
      </c>
      <c r="C33" s="1">
        <v>11</v>
      </c>
      <c r="D33" s="1" t="s">
        <v>28</v>
      </c>
      <c r="E33" s="1"/>
      <c r="F33" s="1"/>
      <c r="G33" s="1"/>
      <c r="H33" s="1">
        <v>2</v>
      </c>
      <c r="I33" s="1">
        <v>2643</v>
      </c>
      <c r="J33" s="1">
        <v>49.058</v>
      </c>
      <c r="K33" s="1">
        <v>819</v>
      </c>
      <c r="L33" s="1">
        <v>1.4E-2</v>
      </c>
      <c r="M33" s="1">
        <v>3.1149999999999998E-4</v>
      </c>
      <c r="N33" s="1">
        <v>0</v>
      </c>
    </row>
    <row r="34" spans="1:14">
      <c r="A34" s="1" t="s">
        <v>14</v>
      </c>
      <c r="B34" s="1" t="s">
        <v>29</v>
      </c>
      <c r="C34" s="1">
        <v>11</v>
      </c>
      <c r="D34" s="1" t="s">
        <v>28</v>
      </c>
      <c r="E34" s="1"/>
      <c r="F34" s="1"/>
      <c r="G34" s="1"/>
      <c r="H34" s="1">
        <v>3</v>
      </c>
      <c r="I34" s="1">
        <v>2853</v>
      </c>
      <c r="J34" s="1">
        <v>24.763000000000002</v>
      </c>
      <c r="K34" s="1">
        <v>1005</v>
      </c>
      <c r="L34" s="1">
        <v>8.0000000000000002E-3</v>
      </c>
      <c r="M34" s="1">
        <v>3.5399999999999999E-4</v>
      </c>
      <c r="N34" s="1">
        <v>136.43899999999999</v>
      </c>
    </row>
    <row r="35" spans="1:14">
      <c r="A35" s="1" t="s">
        <v>14</v>
      </c>
      <c r="B35" s="1" t="s">
        <v>30</v>
      </c>
      <c r="C35" s="1">
        <v>12</v>
      </c>
      <c r="D35" s="1" t="s">
        <v>28</v>
      </c>
      <c r="E35" s="1"/>
      <c r="F35" s="1"/>
      <c r="G35" s="1"/>
      <c r="H35" s="1">
        <v>1</v>
      </c>
      <c r="I35" s="1">
        <v>2643</v>
      </c>
      <c r="J35" s="1">
        <v>47.811</v>
      </c>
      <c r="K35" s="1">
        <v>817</v>
      </c>
      <c r="L35" s="1">
        <v>1.4E-2</v>
      </c>
      <c r="M35" s="1">
        <v>3.1119999999999997E-4</v>
      </c>
      <c r="N35" s="1">
        <v>-0.83099999999999996</v>
      </c>
    </row>
    <row r="36" spans="1:14">
      <c r="A36" s="1" t="s">
        <v>14</v>
      </c>
      <c r="B36" s="1" t="s">
        <v>30</v>
      </c>
      <c r="C36" s="1">
        <v>12</v>
      </c>
      <c r="D36" s="1" t="s">
        <v>28</v>
      </c>
      <c r="E36" s="1"/>
      <c r="F36" s="1"/>
      <c r="G36" s="1"/>
      <c r="H36" s="1">
        <v>2</v>
      </c>
      <c r="I36" s="1">
        <v>2644</v>
      </c>
      <c r="J36" s="1">
        <v>48.956000000000003</v>
      </c>
      <c r="K36" s="1">
        <v>818</v>
      </c>
      <c r="L36" s="1">
        <v>1.4E-2</v>
      </c>
      <c r="M36" s="1">
        <v>3.1149999999999998E-4</v>
      </c>
      <c r="N36" s="1">
        <v>0</v>
      </c>
    </row>
    <row r="37" spans="1:14">
      <c r="A37" s="1" t="s">
        <v>14</v>
      </c>
      <c r="B37" s="1" t="s">
        <v>30</v>
      </c>
      <c r="C37" s="1">
        <v>12</v>
      </c>
      <c r="D37" s="1" t="s">
        <v>28</v>
      </c>
      <c r="E37" s="1"/>
      <c r="F37" s="1"/>
      <c r="G37" s="1"/>
      <c r="H37" s="1">
        <v>3</v>
      </c>
      <c r="I37" s="1">
        <v>2779</v>
      </c>
      <c r="J37" s="1">
        <v>24.277000000000001</v>
      </c>
      <c r="K37" s="1">
        <v>979</v>
      </c>
      <c r="L37" s="1">
        <v>8.0000000000000002E-3</v>
      </c>
      <c r="M37" s="1">
        <v>3.545E-4</v>
      </c>
      <c r="N37" s="1">
        <v>138.19499999999999</v>
      </c>
    </row>
    <row r="38" spans="1:14">
      <c r="A38" s="1" t="s">
        <v>14</v>
      </c>
      <c r="B38" s="1" t="s">
        <v>31</v>
      </c>
      <c r="C38" s="1">
        <v>13</v>
      </c>
      <c r="D38" s="1" t="s">
        <v>32</v>
      </c>
      <c r="E38" s="1"/>
      <c r="F38" s="1"/>
      <c r="G38" s="1"/>
      <c r="H38" s="1">
        <v>1</v>
      </c>
      <c r="I38" s="1">
        <v>2645</v>
      </c>
      <c r="J38" s="1">
        <v>47.728000000000002</v>
      </c>
      <c r="K38" s="1">
        <v>818</v>
      </c>
      <c r="L38" s="1">
        <v>1.4E-2</v>
      </c>
      <c r="M38" s="1">
        <v>3.1169999999999999E-4</v>
      </c>
      <c r="N38" s="1">
        <v>0.55700000000000005</v>
      </c>
    </row>
    <row r="39" spans="1:14">
      <c r="A39" s="1" t="s">
        <v>14</v>
      </c>
      <c r="B39" s="1" t="s">
        <v>31</v>
      </c>
      <c r="C39" s="1">
        <v>13</v>
      </c>
      <c r="D39" s="1" t="s">
        <v>32</v>
      </c>
      <c r="E39" s="1"/>
      <c r="F39" s="1"/>
      <c r="G39" s="1"/>
      <c r="H39" s="1">
        <v>2</v>
      </c>
      <c r="I39" s="1">
        <v>2644</v>
      </c>
      <c r="J39" s="1">
        <v>48.905000000000001</v>
      </c>
      <c r="K39" s="1">
        <v>818</v>
      </c>
      <c r="L39" s="1">
        <v>1.4E-2</v>
      </c>
      <c r="M39" s="1">
        <v>3.1149999999999998E-4</v>
      </c>
      <c r="N39" s="1">
        <v>0</v>
      </c>
    </row>
    <row r="40" spans="1:14">
      <c r="A40" s="1" t="s">
        <v>14</v>
      </c>
      <c r="B40" s="1" t="s">
        <v>31</v>
      </c>
      <c r="C40" s="1">
        <v>13</v>
      </c>
      <c r="D40" s="1" t="s">
        <v>32</v>
      </c>
      <c r="E40" s="1"/>
      <c r="F40" s="1"/>
      <c r="G40" s="1"/>
      <c r="H40" s="1">
        <v>3</v>
      </c>
      <c r="I40" s="1">
        <v>2752</v>
      </c>
      <c r="J40" s="1">
        <v>24.068000000000001</v>
      </c>
      <c r="K40" s="1">
        <v>968</v>
      </c>
      <c r="L40" s="1">
        <v>8.0000000000000002E-3</v>
      </c>
      <c r="M40" s="1">
        <v>3.546E-4</v>
      </c>
      <c r="N40" s="1">
        <v>138.33699999999999</v>
      </c>
    </row>
    <row r="41" spans="1:14">
      <c r="A41" s="1" t="s">
        <v>14</v>
      </c>
      <c r="B41" s="1" t="s">
        <v>33</v>
      </c>
      <c r="C41" s="1">
        <v>14</v>
      </c>
      <c r="D41" s="1" t="s">
        <v>32</v>
      </c>
      <c r="E41" s="1"/>
      <c r="F41" s="1"/>
      <c r="G41" s="1"/>
      <c r="H41" s="1">
        <v>1</v>
      </c>
      <c r="I41" s="1">
        <v>2643</v>
      </c>
      <c r="J41" s="1">
        <v>47.695999999999998</v>
      </c>
      <c r="K41" s="1">
        <v>817</v>
      </c>
      <c r="L41" s="1">
        <v>1.4E-2</v>
      </c>
      <c r="M41" s="1">
        <v>3.1149999999999998E-4</v>
      </c>
      <c r="N41" s="1">
        <v>0.09</v>
      </c>
    </row>
    <row r="42" spans="1:14">
      <c r="A42" s="1" t="s">
        <v>14</v>
      </c>
      <c r="B42" s="1" t="s">
        <v>33</v>
      </c>
      <c r="C42" s="1">
        <v>14</v>
      </c>
      <c r="D42" s="1" t="s">
        <v>32</v>
      </c>
      <c r="E42" s="1"/>
      <c r="F42" s="1"/>
      <c r="G42" s="1"/>
      <c r="H42" s="1">
        <v>2</v>
      </c>
      <c r="I42" s="1">
        <v>2645</v>
      </c>
      <c r="J42" s="1">
        <v>48.938000000000002</v>
      </c>
      <c r="K42" s="1">
        <v>817</v>
      </c>
      <c r="L42" s="1">
        <v>1.4E-2</v>
      </c>
      <c r="M42" s="1">
        <v>3.1149999999999998E-4</v>
      </c>
      <c r="N42" s="1">
        <v>0</v>
      </c>
    </row>
    <row r="43" spans="1:14">
      <c r="A43" s="1" t="s">
        <v>14</v>
      </c>
      <c r="B43" s="1" t="s">
        <v>33</v>
      </c>
      <c r="C43" s="1">
        <v>14</v>
      </c>
      <c r="D43" s="1" t="s">
        <v>32</v>
      </c>
      <c r="E43" s="1"/>
      <c r="F43" s="1"/>
      <c r="G43" s="1"/>
      <c r="H43" s="1">
        <v>3</v>
      </c>
      <c r="I43" s="1">
        <v>2777</v>
      </c>
      <c r="J43" s="1">
        <v>24.263999999999999</v>
      </c>
      <c r="K43" s="1">
        <v>978</v>
      </c>
      <c r="L43" s="1">
        <v>8.0000000000000002E-3</v>
      </c>
      <c r="M43" s="1">
        <v>3.5490000000000001E-4</v>
      </c>
      <c r="N43" s="1">
        <v>139.227</v>
      </c>
    </row>
    <row r="44" spans="1:14">
      <c r="A44" s="1" t="s">
        <v>14</v>
      </c>
      <c r="B44" s="1" t="s">
        <v>34</v>
      </c>
      <c r="C44" s="1">
        <v>15</v>
      </c>
      <c r="D44" s="1" t="s">
        <v>35</v>
      </c>
      <c r="E44" s="1"/>
      <c r="F44" s="1"/>
      <c r="G44" s="1"/>
      <c r="H44" s="1">
        <v>1</v>
      </c>
      <c r="I44" s="1">
        <v>2645</v>
      </c>
      <c r="J44" s="1">
        <v>47.854999999999997</v>
      </c>
      <c r="K44" s="1">
        <v>819</v>
      </c>
      <c r="L44" s="1">
        <v>1.4E-2</v>
      </c>
      <c r="M44" s="1">
        <v>3.1139999999999998E-4</v>
      </c>
      <c r="N44" s="1">
        <v>-0.441</v>
      </c>
    </row>
    <row r="45" spans="1:14">
      <c r="A45" s="1" t="s">
        <v>14</v>
      </c>
      <c r="B45" s="1" t="s">
        <v>34</v>
      </c>
      <c r="C45" s="1">
        <v>15</v>
      </c>
      <c r="D45" s="1" t="s">
        <v>35</v>
      </c>
      <c r="E45" s="1"/>
      <c r="F45" s="1"/>
      <c r="G45" s="1"/>
      <c r="H45" s="1">
        <v>2</v>
      </c>
      <c r="I45" s="1">
        <v>2645</v>
      </c>
      <c r="J45" s="1">
        <v>49.026000000000003</v>
      </c>
      <c r="K45" s="1">
        <v>818</v>
      </c>
      <c r="L45" s="1">
        <v>1.4E-2</v>
      </c>
      <c r="M45" s="1">
        <v>3.1149999999999998E-4</v>
      </c>
      <c r="N45" s="1">
        <v>0</v>
      </c>
    </row>
    <row r="46" spans="1:14">
      <c r="A46" s="1" t="s">
        <v>14</v>
      </c>
      <c r="B46" s="1" t="s">
        <v>34</v>
      </c>
      <c r="C46" s="1">
        <v>15</v>
      </c>
      <c r="D46" s="1" t="s">
        <v>35</v>
      </c>
      <c r="E46" s="1"/>
      <c r="F46" s="1"/>
      <c r="G46" s="1"/>
      <c r="H46" s="1">
        <v>3</v>
      </c>
      <c r="I46" s="1">
        <v>2811</v>
      </c>
      <c r="J46" s="1">
        <v>24.545999999999999</v>
      </c>
      <c r="K46" s="1">
        <v>1009</v>
      </c>
      <c r="L46" s="1">
        <v>8.0000000000000002E-3</v>
      </c>
      <c r="M46" s="1">
        <v>3.6160000000000001E-4</v>
      </c>
      <c r="N46" s="1">
        <v>160.904</v>
      </c>
    </row>
    <row r="47" spans="1:14">
      <c r="A47" s="1" t="s">
        <v>14</v>
      </c>
      <c r="B47" s="1" t="s">
        <v>36</v>
      </c>
      <c r="C47" s="1">
        <v>16</v>
      </c>
      <c r="D47" s="1" t="s">
        <v>35</v>
      </c>
      <c r="E47" s="1"/>
      <c r="F47" s="1"/>
      <c r="G47" s="1"/>
      <c r="H47" s="1">
        <v>1</v>
      </c>
      <c r="I47" s="1">
        <v>2651</v>
      </c>
      <c r="J47" s="1">
        <v>47.866999999999997</v>
      </c>
      <c r="K47" s="1">
        <v>820</v>
      </c>
      <c r="L47" s="1">
        <v>1.4E-2</v>
      </c>
      <c r="M47" s="1">
        <v>3.1139999999999998E-4</v>
      </c>
      <c r="N47" s="1">
        <v>-0.224</v>
      </c>
    </row>
    <row r="48" spans="1:14">
      <c r="A48" s="1" t="s">
        <v>14</v>
      </c>
      <c r="B48" s="1" t="s">
        <v>36</v>
      </c>
      <c r="C48" s="1">
        <v>16</v>
      </c>
      <c r="D48" s="1" t="s">
        <v>35</v>
      </c>
      <c r="E48" s="1"/>
      <c r="F48" s="1"/>
      <c r="G48" s="1"/>
      <c r="H48" s="1">
        <v>2</v>
      </c>
      <c r="I48" s="1">
        <v>2649</v>
      </c>
      <c r="J48" s="1">
        <v>49.021999999999998</v>
      </c>
      <c r="K48" s="1">
        <v>819</v>
      </c>
      <c r="L48" s="1">
        <v>1.4E-2</v>
      </c>
      <c r="M48" s="1">
        <v>3.1149999999999998E-4</v>
      </c>
      <c r="N48" s="1">
        <v>0</v>
      </c>
    </row>
    <row r="49" spans="1:14">
      <c r="A49" s="1" t="s">
        <v>14</v>
      </c>
      <c r="B49" s="1" t="s">
        <v>36</v>
      </c>
      <c r="C49" s="1">
        <v>16</v>
      </c>
      <c r="D49" s="1" t="s">
        <v>35</v>
      </c>
      <c r="E49" s="1"/>
      <c r="F49" s="1"/>
      <c r="G49" s="1"/>
      <c r="H49" s="1">
        <v>3</v>
      </c>
      <c r="I49" s="1">
        <v>2792</v>
      </c>
      <c r="J49" s="1">
        <v>24.527999999999999</v>
      </c>
      <c r="K49" s="1">
        <v>1001</v>
      </c>
      <c r="L49" s="1">
        <v>8.0000000000000002E-3</v>
      </c>
      <c r="M49" s="1">
        <v>3.6230000000000002E-4</v>
      </c>
      <c r="N49" s="1">
        <v>163.23500000000001</v>
      </c>
    </row>
    <row r="50" spans="1:14">
      <c r="A50" s="1" t="s">
        <v>14</v>
      </c>
      <c r="B50" s="1" t="s">
        <v>37</v>
      </c>
      <c r="C50" s="1">
        <v>17</v>
      </c>
      <c r="D50" s="1" t="s">
        <v>38</v>
      </c>
      <c r="E50" s="1"/>
      <c r="F50" s="1"/>
      <c r="G50" s="1"/>
      <c r="H50" s="1">
        <v>1</v>
      </c>
      <c r="I50" s="1">
        <v>2651</v>
      </c>
      <c r="J50" s="1">
        <v>47.927</v>
      </c>
      <c r="K50" s="1">
        <v>821</v>
      </c>
      <c r="L50" s="1">
        <v>1.4E-2</v>
      </c>
      <c r="M50" s="1">
        <v>3.1139999999999998E-4</v>
      </c>
      <c r="N50" s="1">
        <v>-0.39</v>
      </c>
    </row>
    <row r="51" spans="1:14">
      <c r="A51" s="1" t="s">
        <v>14</v>
      </c>
      <c r="B51" s="1" t="s">
        <v>37</v>
      </c>
      <c r="C51" s="1">
        <v>17</v>
      </c>
      <c r="D51" s="1" t="s">
        <v>38</v>
      </c>
      <c r="E51" s="1"/>
      <c r="F51" s="1"/>
      <c r="G51" s="1"/>
      <c r="H51" s="1">
        <v>2</v>
      </c>
      <c r="I51" s="1">
        <v>2655</v>
      </c>
      <c r="J51" s="1">
        <v>49.076000000000001</v>
      </c>
      <c r="K51" s="1">
        <v>822</v>
      </c>
      <c r="L51" s="1">
        <v>1.4E-2</v>
      </c>
      <c r="M51" s="1">
        <v>3.1149999999999998E-4</v>
      </c>
      <c r="N51" s="1">
        <v>0</v>
      </c>
    </row>
    <row r="52" spans="1:14">
      <c r="A52" s="1" t="s">
        <v>14</v>
      </c>
      <c r="B52" s="1" t="s">
        <v>37</v>
      </c>
      <c r="C52" s="1">
        <v>17</v>
      </c>
      <c r="D52" s="1" t="s">
        <v>38</v>
      </c>
      <c r="E52" s="1"/>
      <c r="F52" s="1"/>
      <c r="G52" s="1"/>
      <c r="H52" s="1">
        <v>3</v>
      </c>
      <c r="I52" s="1">
        <v>2972</v>
      </c>
      <c r="J52" s="1">
        <v>26.018000000000001</v>
      </c>
      <c r="K52" s="1">
        <v>1115</v>
      </c>
      <c r="L52" s="1">
        <v>8.9999999999999993E-3</v>
      </c>
      <c r="M52" s="1">
        <v>3.7750000000000001E-4</v>
      </c>
      <c r="N52" s="1">
        <v>211.91399999999999</v>
      </c>
    </row>
    <row r="53" spans="1:14">
      <c r="A53" s="1" t="s">
        <v>14</v>
      </c>
      <c r="B53" s="1" t="s">
        <v>39</v>
      </c>
      <c r="C53" s="1">
        <v>18</v>
      </c>
      <c r="D53" s="1" t="s">
        <v>38</v>
      </c>
      <c r="E53" s="1"/>
      <c r="F53" s="1"/>
      <c r="G53" s="1"/>
      <c r="H53" s="1">
        <v>1</v>
      </c>
      <c r="I53" s="1">
        <v>2644</v>
      </c>
      <c r="J53" s="1">
        <v>47.767000000000003</v>
      </c>
      <c r="K53" s="1">
        <v>818</v>
      </c>
      <c r="L53" s="1">
        <v>1.4E-2</v>
      </c>
      <c r="M53" s="1">
        <v>3.1119999999999997E-4</v>
      </c>
      <c r="N53" s="1">
        <v>-0.99099999999999999</v>
      </c>
    </row>
    <row r="54" spans="1:14">
      <c r="A54" s="1" t="s">
        <v>14</v>
      </c>
      <c r="B54" s="1" t="s">
        <v>39</v>
      </c>
      <c r="C54" s="1">
        <v>18</v>
      </c>
      <c r="D54" s="1" t="s">
        <v>38</v>
      </c>
      <c r="E54" s="1"/>
      <c r="F54" s="1"/>
      <c r="G54" s="1"/>
      <c r="H54" s="1">
        <v>2</v>
      </c>
      <c r="I54" s="1">
        <v>2645</v>
      </c>
      <c r="J54" s="1">
        <v>49.156999999999996</v>
      </c>
      <c r="K54" s="1">
        <v>819</v>
      </c>
      <c r="L54" s="1">
        <v>1.4E-2</v>
      </c>
      <c r="M54" s="1">
        <v>3.1149999999999998E-4</v>
      </c>
      <c r="N54" s="1">
        <v>0</v>
      </c>
    </row>
    <row r="55" spans="1:14">
      <c r="A55" s="1" t="s">
        <v>14</v>
      </c>
      <c r="B55" s="1" t="s">
        <v>39</v>
      </c>
      <c r="C55" s="1">
        <v>18</v>
      </c>
      <c r="D55" s="1" t="s">
        <v>38</v>
      </c>
      <c r="E55" s="1"/>
      <c r="F55" s="1"/>
      <c r="G55" s="1"/>
      <c r="H55" s="1">
        <v>3</v>
      </c>
      <c r="I55" s="1">
        <v>2935</v>
      </c>
      <c r="J55" s="1">
        <v>25.861000000000001</v>
      </c>
      <c r="K55" s="1">
        <v>1101</v>
      </c>
      <c r="L55" s="1">
        <v>8.9999999999999993E-3</v>
      </c>
      <c r="M55" s="1">
        <v>3.7730000000000001E-4</v>
      </c>
      <c r="N55" s="1">
        <v>211.29300000000001</v>
      </c>
    </row>
    <row r="56" spans="1:14">
      <c r="A56" s="1" t="s">
        <v>14</v>
      </c>
      <c r="B56" s="1" t="s">
        <v>40</v>
      </c>
      <c r="C56" s="1">
        <v>19</v>
      </c>
      <c r="D56" s="1" t="s">
        <v>41</v>
      </c>
      <c r="E56" s="1"/>
      <c r="F56" s="1"/>
      <c r="G56" s="1"/>
      <c r="H56" s="1">
        <v>1</v>
      </c>
      <c r="I56" s="1">
        <v>2648</v>
      </c>
      <c r="J56" s="1">
        <v>47.811999999999998</v>
      </c>
      <c r="K56" s="1">
        <v>819</v>
      </c>
      <c r="L56" s="1">
        <v>1.4E-2</v>
      </c>
      <c r="M56" s="1">
        <v>3.1119999999999997E-4</v>
      </c>
      <c r="N56" s="1">
        <v>-1.119</v>
      </c>
    </row>
    <row r="57" spans="1:14">
      <c r="A57" s="1" t="s">
        <v>14</v>
      </c>
      <c r="B57" s="1" t="s">
        <v>40</v>
      </c>
      <c r="C57" s="1">
        <v>19</v>
      </c>
      <c r="D57" s="1" t="s">
        <v>41</v>
      </c>
      <c r="E57" s="1"/>
      <c r="F57" s="1"/>
      <c r="G57" s="1"/>
      <c r="H57" s="1">
        <v>2</v>
      </c>
      <c r="I57" s="1">
        <v>2647</v>
      </c>
      <c r="J57" s="1">
        <v>48.962000000000003</v>
      </c>
      <c r="K57" s="1">
        <v>820</v>
      </c>
      <c r="L57" s="1">
        <v>1.4E-2</v>
      </c>
      <c r="M57" s="1">
        <v>3.1149999999999998E-4</v>
      </c>
      <c r="N57" s="1">
        <v>0</v>
      </c>
    </row>
    <row r="58" spans="1:14">
      <c r="A58" s="1" t="s">
        <v>14</v>
      </c>
      <c r="B58" s="1" t="s">
        <v>40</v>
      </c>
      <c r="C58" s="1">
        <v>19</v>
      </c>
      <c r="D58" s="1" t="s">
        <v>41</v>
      </c>
      <c r="E58" s="1"/>
      <c r="F58" s="1"/>
      <c r="G58" s="1"/>
      <c r="H58" s="1">
        <v>3</v>
      </c>
      <c r="I58" s="1">
        <v>2673</v>
      </c>
      <c r="J58" s="1">
        <v>23.521999999999998</v>
      </c>
      <c r="K58" s="1">
        <v>1016</v>
      </c>
      <c r="L58" s="1">
        <v>8.0000000000000002E-3</v>
      </c>
      <c r="M58" s="1">
        <v>3.8479999999999997E-4</v>
      </c>
      <c r="N58" s="1">
        <v>235.43600000000001</v>
      </c>
    </row>
    <row r="59" spans="1:14">
      <c r="A59" s="1" t="s">
        <v>14</v>
      </c>
      <c r="B59" s="1" t="s">
        <v>42</v>
      </c>
      <c r="C59" s="1">
        <v>20</v>
      </c>
      <c r="D59" s="1" t="s">
        <v>41</v>
      </c>
      <c r="E59" s="1"/>
      <c r="F59" s="1"/>
      <c r="G59" s="1"/>
      <c r="H59" s="1">
        <v>1</v>
      </c>
      <c r="I59" s="1">
        <v>2646</v>
      </c>
      <c r="J59" s="1">
        <v>47.9</v>
      </c>
      <c r="K59" s="1">
        <v>820</v>
      </c>
      <c r="L59" s="1">
        <v>1.4E-2</v>
      </c>
      <c r="M59" s="1">
        <v>3.1129999999999998E-4</v>
      </c>
      <c r="N59" s="1">
        <v>-0.70799999999999996</v>
      </c>
    </row>
    <row r="60" spans="1:14">
      <c r="A60" s="1" t="s">
        <v>14</v>
      </c>
      <c r="B60" s="1" t="s">
        <v>42</v>
      </c>
      <c r="C60" s="1">
        <v>20</v>
      </c>
      <c r="D60" s="1" t="s">
        <v>41</v>
      </c>
      <c r="E60" s="1"/>
      <c r="F60" s="1"/>
      <c r="G60" s="1"/>
      <c r="H60" s="1">
        <v>2</v>
      </c>
      <c r="I60" s="1">
        <v>2646</v>
      </c>
      <c r="J60" s="1">
        <v>48.959000000000003</v>
      </c>
      <c r="K60" s="1">
        <v>819</v>
      </c>
      <c r="L60" s="1">
        <v>1.4E-2</v>
      </c>
      <c r="M60" s="1">
        <v>3.1149999999999998E-4</v>
      </c>
      <c r="N60" s="1">
        <v>0</v>
      </c>
    </row>
    <row r="61" spans="1:14">
      <c r="A61" s="1" t="s">
        <v>14</v>
      </c>
      <c r="B61" s="1" t="s">
        <v>42</v>
      </c>
      <c r="C61" s="1">
        <v>20</v>
      </c>
      <c r="D61" s="1" t="s">
        <v>41</v>
      </c>
      <c r="E61" s="1"/>
      <c r="F61" s="1"/>
      <c r="G61" s="1"/>
      <c r="H61" s="1">
        <v>3</v>
      </c>
      <c r="I61" s="1">
        <v>2859</v>
      </c>
      <c r="J61" s="1">
        <v>25.161999999999999</v>
      </c>
      <c r="K61" s="1">
        <v>1091</v>
      </c>
      <c r="L61" s="1">
        <v>8.9999999999999993E-3</v>
      </c>
      <c r="M61" s="1">
        <v>3.8499999999999998E-4</v>
      </c>
      <c r="N61" s="1">
        <v>236.018</v>
      </c>
    </row>
    <row r="62" spans="1:14">
      <c r="A62" s="1" t="s">
        <v>14</v>
      </c>
      <c r="B62" s="1" t="s">
        <v>43</v>
      </c>
      <c r="C62" s="1">
        <v>21</v>
      </c>
      <c r="D62" s="1" t="s">
        <v>44</v>
      </c>
      <c r="E62" s="1"/>
      <c r="F62" s="1"/>
      <c r="G62" s="1"/>
      <c r="H62" s="1">
        <v>1</v>
      </c>
      <c r="I62" s="1">
        <v>2645</v>
      </c>
      <c r="J62" s="1">
        <v>48.088999999999999</v>
      </c>
      <c r="K62" s="1">
        <v>818</v>
      </c>
      <c r="L62" s="1">
        <v>1.4E-2</v>
      </c>
      <c r="M62" s="1">
        <v>3.1159999999999998E-4</v>
      </c>
      <c r="N62" s="1">
        <v>0.42799999999999999</v>
      </c>
    </row>
    <row r="63" spans="1:14">
      <c r="A63" s="1" t="s">
        <v>14</v>
      </c>
      <c r="B63" s="1" t="s">
        <v>43</v>
      </c>
      <c r="C63" s="1">
        <v>21</v>
      </c>
      <c r="D63" s="1" t="s">
        <v>44</v>
      </c>
      <c r="E63" s="1"/>
      <c r="F63" s="1"/>
      <c r="G63" s="1"/>
      <c r="H63" s="1">
        <v>2</v>
      </c>
      <c r="I63" s="1">
        <v>2643</v>
      </c>
      <c r="J63" s="1">
        <v>49.143999999999998</v>
      </c>
      <c r="K63" s="1">
        <v>817</v>
      </c>
      <c r="L63" s="1">
        <v>1.4E-2</v>
      </c>
      <c r="M63" s="1">
        <v>3.1149999999999998E-4</v>
      </c>
      <c r="N63" s="1">
        <v>0</v>
      </c>
    </row>
    <row r="64" spans="1:14">
      <c r="A64" s="1" t="s">
        <v>14</v>
      </c>
      <c r="B64" s="1" t="s">
        <v>43</v>
      </c>
      <c r="C64" s="1">
        <v>21</v>
      </c>
      <c r="D64" s="1" t="s">
        <v>44</v>
      </c>
      <c r="E64" s="1"/>
      <c r="F64" s="1"/>
      <c r="G64" s="1"/>
      <c r="H64" s="1">
        <v>3</v>
      </c>
      <c r="I64" s="1">
        <v>2742</v>
      </c>
      <c r="J64" s="1">
        <v>24.06</v>
      </c>
      <c r="K64" s="1">
        <v>1005</v>
      </c>
      <c r="L64" s="1">
        <v>8.0000000000000002E-3</v>
      </c>
      <c r="M64" s="1">
        <v>3.7060000000000001E-4</v>
      </c>
      <c r="N64" s="1">
        <v>189.78299999999999</v>
      </c>
    </row>
    <row r="65" spans="1:14">
      <c r="A65" s="1" t="s">
        <v>14</v>
      </c>
      <c r="B65" s="1" t="s">
        <v>45</v>
      </c>
      <c r="C65" s="1">
        <v>22</v>
      </c>
      <c r="D65" s="1" t="s">
        <v>44</v>
      </c>
      <c r="E65" s="1"/>
      <c r="F65" s="1"/>
      <c r="G65" s="1"/>
      <c r="H65" s="1">
        <v>1</v>
      </c>
      <c r="I65" s="1">
        <v>2650</v>
      </c>
      <c r="J65" s="1">
        <v>47.908999999999999</v>
      </c>
      <c r="K65" s="1">
        <v>820</v>
      </c>
      <c r="L65" s="1">
        <v>1.4E-2</v>
      </c>
      <c r="M65" s="1">
        <v>3.1119999999999997E-4</v>
      </c>
      <c r="N65" s="1">
        <v>-0.995</v>
      </c>
    </row>
    <row r="66" spans="1:14">
      <c r="A66" s="1" t="s">
        <v>14</v>
      </c>
      <c r="B66" s="1" t="s">
        <v>45</v>
      </c>
      <c r="C66" s="1">
        <v>22</v>
      </c>
      <c r="D66" s="1" t="s">
        <v>44</v>
      </c>
      <c r="E66" s="1"/>
      <c r="F66" s="1"/>
      <c r="G66" s="1"/>
      <c r="H66" s="1">
        <v>2</v>
      </c>
      <c r="I66" s="1">
        <v>2650</v>
      </c>
      <c r="J66" s="1">
        <v>49.018999999999998</v>
      </c>
      <c r="K66" s="1">
        <v>821</v>
      </c>
      <c r="L66" s="1">
        <v>1.4E-2</v>
      </c>
      <c r="M66" s="1">
        <v>3.1149999999999998E-4</v>
      </c>
      <c r="N66" s="1">
        <v>0</v>
      </c>
    </row>
    <row r="67" spans="1:14">
      <c r="A67" s="1" t="s">
        <v>14</v>
      </c>
      <c r="B67" s="1" t="s">
        <v>45</v>
      </c>
      <c r="C67" s="1">
        <v>22</v>
      </c>
      <c r="D67" s="1" t="s">
        <v>44</v>
      </c>
      <c r="E67" s="1"/>
      <c r="F67" s="1"/>
      <c r="G67" s="1"/>
      <c r="H67" s="1">
        <v>3</v>
      </c>
      <c r="I67" s="1">
        <v>2766</v>
      </c>
      <c r="J67" s="1">
        <v>24.077999999999999</v>
      </c>
      <c r="K67" s="1">
        <v>1014</v>
      </c>
      <c r="L67" s="1">
        <v>8.0000000000000002E-3</v>
      </c>
      <c r="M67" s="1">
        <v>3.702E-4</v>
      </c>
      <c r="N67" s="1">
        <v>188.40700000000001</v>
      </c>
    </row>
    <row r="68" spans="1:14">
      <c r="A68" s="1" t="s">
        <v>14</v>
      </c>
      <c r="B68" s="1" t="s">
        <v>46</v>
      </c>
      <c r="C68" s="1">
        <v>23</v>
      </c>
      <c r="D68" s="1" t="s">
        <v>20</v>
      </c>
      <c r="E68" s="1"/>
      <c r="F68" s="1"/>
      <c r="G68" s="1"/>
      <c r="H68" s="1">
        <v>1</v>
      </c>
      <c r="I68" s="1">
        <v>2642</v>
      </c>
      <c r="J68" s="1">
        <v>47.844000000000001</v>
      </c>
      <c r="K68" s="1">
        <v>818</v>
      </c>
      <c r="L68" s="1">
        <v>1.4E-2</v>
      </c>
      <c r="M68" s="1">
        <v>3.1169999999999999E-4</v>
      </c>
      <c r="N68" s="1">
        <v>0.629</v>
      </c>
    </row>
    <row r="69" spans="1:14">
      <c r="A69" s="1" t="s">
        <v>14</v>
      </c>
      <c r="B69" s="1" t="s">
        <v>46</v>
      </c>
      <c r="C69" s="1">
        <v>23</v>
      </c>
      <c r="D69" s="1" t="s">
        <v>20</v>
      </c>
      <c r="E69" s="1"/>
      <c r="F69" s="1"/>
      <c r="G69" s="1"/>
      <c r="H69" s="1">
        <v>2</v>
      </c>
      <c r="I69" s="1">
        <v>2642</v>
      </c>
      <c r="J69" s="1">
        <v>49.143000000000001</v>
      </c>
      <c r="K69" s="1">
        <v>818</v>
      </c>
      <c r="L69" s="1">
        <v>1.4E-2</v>
      </c>
      <c r="M69" s="1">
        <v>3.1149999999999998E-4</v>
      </c>
      <c r="N69" s="1">
        <v>0</v>
      </c>
    </row>
    <row r="70" spans="1:14">
      <c r="A70" s="1" t="s">
        <v>14</v>
      </c>
      <c r="B70" s="1" t="s">
        <v>46</v>
      </c>
      <c r="C70" s="1">
        <v>23</v>
      </c>
      <c r="D70" s="1" t="s">
        <v>20</v>
      </c>
      <c r="E70" s="1"/>
      <c r="F70" s="1"/>
      <c r="G70" s="1"/>
      <c r="H70" s="1">
        <v>3</v>
      </c>
      <c r="I70" s="1">
        <v>2838</v>
      </c>
      <c r="J70" s="1">
        <v>24.867999999999999</v>
      </c>
      <c r="K70" s="1">
        <v>1056</v>
      </c>
      <c r="L70" s="1">
        <v>8.9999999999999993E-3</v>
      </c>
      <c r="M70" s="1">
        <v>3.7520000000000001E-4</v>
      </c>
      <c r="N70" s="1">
        <v>204.577</v>
      </c>
    </row>
    <row r="71" spans="1:14">
      <c r="A71" s="1" t="s">
        <v>14</v>
      </c>
      <c r="B71" s="1" t="s">
        <v>47</v>
      </c>
      <c r="C71" s="1">
        <v>24</v>
      </c>
      <c r="D71" s="1" t="s">
        <v>20</v>
      </c>
      <c r="E71" s="1"/>
      <c r="F71" s="1"/>
      <c r="G71" s="1"/>
      <c r="H71" s="1">
        <v>1</v>
      </c>
      <c r="I71" s="1">
        <v>2641</v>
      </c>
      <c r="J71" s="1">
        <v>47.777999999999999</v>
      </c>
      <c r="K71" s="1">
        <v>817</v>
      </c>
      <c r="L71" s="1">
        <v>1.4E-2</v>
      </c>
      <c r="M71" s="1">
        <v>3.1179999999999999E-4</v>
      </c>
      <c r="N71" s="1">
        <v>0.92800000000000005</v>
      </c>
    </row>
    <row r="72" spans="1:14">
      <c r="A72" s="1" t="s">
        <v>14</v>
      </c>
      <c r="B72" s="1" t="s">
        <v>47</v>
      </c>
      <c r="C72" s="1">
        <v>24</v>
      </c>
      <c r="D72" s="1" t="s">
        <v>20</v>
      </c>
      <c r="E72" s="1"/>
      <c r="F72" s="1"/>
      <c r="G72" s="1"/>
      <c r="H72" s="1">
        <v>2</v>
      </c>
      <c r="I72" s="1">
        <v>2643</v>
      </c>
      <c r="J72" s="1">
        <v>48.865000000000002</v>
      </c>
      <c r="K72" s="1">
        <v>816</v>
      </c>
      <c r="L72" s="1">
        <v>1.4E-2</v>
      </c>
      <c r="M72" s="1">
        <v>3.1149999999999998E-4</v>
      </c>
      <c r="N72" s="1">
        <v>0</v>
      </c>
    </row>
    <row r="73" spans="1:14">
      <c r="A73" s="1" t="s">
        <v>14</v>
      </c>
      <c r="B73" s="1" t="s">
        <v>47</v>
      </c>
      <c r="C73" s="1">
        <v>24</v>
      </c>
      <c r="D73" s="1" t="s">
        <v>20</v>
      </c>
      <c r="E73" s="1"/>
      <c r="F73" s="1"/>
      <c r="G73" s="1"/>
      <c r="H73" s="1">
        <v>3</v>
      </c>
      <c r="I73" s="1">
        <v>2831</v>
      </c>
      <c r="J73" s="1">
        <v>24.626999999999999</v>
      </c>
      <c r="K73" s="1">
        <v>1055</v>
      </c>
      <c r="L73" s="1">
        <v>8.0000000000000002E-3</v>
      </c>
      <c r="M73" s="1">
        <v>3.7589999999999998E-4</v>
      </c>
      <c r="N73" s="1">
        <v>206.81100000000001</v>
      </c>
    </row>
    <row r="74" spans="1:14">
      <c r="A74" s="1" t="s">
        <v>14</v>
      </c>
      <c r="B74" s="1" t="s">
        <v>48</v>
      </c>
      <c r="C74" s="1">
        <v>25</v>
      </c>
      <c r="D74" s="1" t="s">
        <v>49</v>
      </c>
      <c r="E74" s="1"/>
      <c r="F74" s="1"/>
      <c r="G74" s="1"/>
      <c r="H74" s="1">
        <v>1</v>
      </c>
      <c r="I74" s="1">
        <v>2637</v>
      </c>
      <c r="J74" s="1">
        <v>47.738</v>
      </c>
      <c r="K74" s="1">
        <v>816</v>
      </c>
      <c r="L74" s="1">
        <v>1.4E-2</v>
      </c>
      <c r="M74" s="1">
        <v>3.1169999999999999E-4</v>
      </c>
      <c r="N74" s="1">
        <v>0.54300000000000004</v>
      </c>
    </row>
    <row r="75" spans="1:14">
      <c r="A75" s="1" t="s">
        <v>14</v>
      </c>
      <c r="B75" s="1" t="s">
        <v>48</v>
      </c>
      <c r="C75" s="1">
        <v>25</v>
      </c>
      <c r="D75" s="1" t="s">
        <v>49</v>
      </c>
      <c r="E75" s="1"/>
      <c r="F75" s="1"/>
      <c r="G75" s="1"/>
      <c r="H75" s="1">
        <v>2</v>
      </c>
      <c r="I75" s="1">
        <v>2639</v>
      </c>
      <c r="J75" s="1">
        <v>48.869</v>
      </c>
      <c r="K75" s="1">
        <v>816</v>
      </c>
      <c r="L75" s="1">
        <v>1.4E-2</v>
      </c>
      <c r="M75" s="1">
        <v>3.1149999999999998E-4</v>
      </c>
      <c r="N75" s="1">
        <v>0</v>
      </c>
    </row>
    <row r="76" spans="1:14">
      <c r="A76" s="1" t="s">
        <v>14</v>
      </c>
      <c r="B76" s="1" t="s">
        <v>48</v>
      </c>
      <c r="C76" s="1">
        <v>25</v>
      </c>
      <c r="D76" s="1" t="s">
        <v>49</v>
      </c>
      <c r="E76" s="1"/>
      <c r="F76" s="1"/>
      <c r="G76" s="1"/>
      <c r="H76" s="1">
        <v>3</v>
      </c>
      <c r="I76" s="1">
        <v>2760</v>
      </c>
      <c r="J76" s="1">
        <v>24.388999999999999</v>
      </c>
      <c r="K76" s="1">
        <v>991</v>
      </c>
      <c r="L76" s="1">
        <v>8.0000000000000002E-3</v>
      </c>
      <c r="M76" s="1">
        <v>3.6230000000000002E-4</v>
      </c>
      <c r="N76" s="1">
        <v>163.22800000000001</v>
      </c>
    </row>
    <row r="77" spans="1:14">
      <c r="A77" s="1" t="s">
        <v>14</v>
      </c>
      <c r="B77" s="1" t="s">
        <v>50</v>
      </c>
      <c r="C77" s="1">
        <v>26</v>
      </c>
      <c r="D77" s="1" t="s">
        <v>49</v>
      </c>
      <c r="E77" s="1"/>
      <c r="F77" s="1"/>
      <c r="G77" s="1"/>
      <c r="H77" s="1">
        <v>1</v>
      </c>
      <c r="I77" s="1">
        <v>2642</v>
      </c>
      <c r="J77" s="1">
        <v>47.825000000000003</v>
      </c>
      <c r="K77" s="1">
        <v>818</v>
      </c>
      <c r="L77" s="1">
        <v>1.4E-2</v>
      </c>
      <c r="M77" s="1">
        <v>3.1129999999999998E-4</v>
      </c>
      <c r="N77" s="1">
        <v>-0.49199999999999999</v>
      </c>
    </row>
    <row r="78" spans="1:14">
      <c r="A78" s="1" t="s">
        <v>14</v>
      </c>
      <c r="B78" s="1" t="s">
        <v>50</v>
      </c>
      <c r="C78" s="1">
        <v>26</v>
      </c>
      <c r="D78" s="1" t="s">
        <v>49</v>
      </c>
      <c r="E78" s="1"/>
      <c r="F78" s="1"/>
      <c r="G78" s="1"/>
      <c r="H78" s="1">
        <v>2</v>
      </c>
      <c r="I78" s="1">
        <v>2641</v>
      </c>
      <c r="J78" s="1">
        <v>48.845999999999997</v>
      </c>
      <c r="K78" s="1">
        <v>817</v>
      </c>
      <c r="L78" s="1">
        <v>1.4E-2</v>
      </c>
      <c r="M78" s="1">
        <v>3.1149999999999998E-4</v>
      </c>
      <c r="N78" s="1">
        <v>0</v>
      </c>
    </row>
    <row r="79" spans="1:14">
      <c r="A79" s="1" t="s">
        <v>14</v>
      </c>
      <c r="B79" s="1" t="s">
        <v>50</v>
      </c>
      <c r="C79" s="1">
        <v>26</v>
      </c>
      <c r="D79" s="1" t="s">
        <v>49</v>
      </c>
      <c r="E79" s="1"/>
      <c r="F79" s="1"/>
      <c r="G79" s="1"/>
      <c r="H79" s="1">
        <v>3</v>
      </c>
      <c r="I79" s="1">
        <v>2754</v>
      </c>
      <c r="J79" s="1">
        <v>24.105</v>
      </c>
      <c r="K79" s="1">
        <v>988</v>
      </c>
      <c r="L79" s="1">
        <v>8.0000000000000002E-3</v>
      </c>
      <c r="M79" s="1">
        <v>3.6099999999999999E-4</v>
      </c>
      <c r="N79" s="1">
        <v>159.066</v>
      </c>
    </row>
    <row r="80" spans="1:14">
      <c r="A80" s="1" t="s">
        <v>14</v>
      </c>
      <c r="B80" s="1" t="s">
        <v>51</v>
      </c>
      <c r="C80" s="1">
        <v>27</v>
      </c>
      <c r="D80" s="1" t="s">
        <v>52</v>
      </c>
      <c r="E80" s="1"/>
      <c r="F80" s="1"/>
      <c r="G80" s="1"/>
      <c r="H80" s="1">
        <v>1</v>
      </c>
      <c r="I80" s="1">
        <v>2647</v>
      </c>
      <c r="J80" s="1">
        <v>47.844999999999999</v>
      </c>
      <c r="K80" s="1">
        <v>818</v>
      </c>
      <c r="L80" s="1">
        <v>1.4E-2</v>
      </c>
      <c r="M80" s="1">
        <v>3.1159999999999998E-4</v>
      </c>
      <c r="N80" s="1">
        <v>0.24399999999999999</v>
      </c>
    </row>
    <row r="81" spans="1:14">
      <c r="A81" s="1" t="s">
        <v>14</v>
      </c>
      <c r="B81" s="1" t="s">
        <v>51</v>
      </c>
      <c r="C81" s="1">
        <v>27</v>
      </c>
      <c r="D81" s="1" t="s">
        <v>52</v>
      </c>
      <c r="E81" s="1"/>
      <c r="F81" s="1"/>
      <c r="G81" s="1"/>
      <c r="H81" s="1">
        <v>2</v>
      </c>
      <c r="I81" s="1">
        <v>2646</v>
      </c>
      <c r="J81" s="1">
        <v>48.923000000000002</v>
      </c>
      <c r="K81" s="1">
        <v>818</v>
      </c>
      <c r="L81" s="1">
        <v>1.4E-2</v>
      </c>
      <c r="M81" s="1">
        <v>3.1149999999999998E-4</v>
      </c>
      <c r="N81" s="1">
        <v>0</v>
      </c>
    </row>
    <row r="82" spans="1:14">
      <c r="A82" s="1" t="s">
        <v>14</v>
      </c>
      <c r="B82" s="1" t="s">
        <v>51</v>
      </c>
      <c r="C82" s="1">
        <v>27</v>
      </c>
      <c r="D82" s="1" t="s">
        <v>52</v>
      </c>
      <c r="E82" s="1"/>
      <c r="F82" s="1"/>
      <c r="G82" s="1"/>
      <c r="H82" s="1">
        <v>3</v>
      </c>
      <c r="I82" s="1">
        <v>2738</v>
      </c>
      <c r="J82" s="1">
        <v>24.266999999999999</v>
      </c>
      <c r="K82" s="1">
        <v>950</v>
      </c>
      <c r="L82" s="1">
        <v>8.0000000000000002E-3</v>
      </c>
      <c r="M82" s="1">
        <v>3.4900000000000003E-4</v>
      </c>
      <c r="N82" s="1">
        <v>120.36199999999999</v>
      </c>
    </row>
    <row r="83" spans="1:14">
      <c r="A83" s="1" t="s">
        <v>14</v>
      </c>
      <c r="B83" s="1" t="s">
        <v>53</v>
      </c>
      <c r="C83" s="1">
        <v>28</v>
      </c>
      <c r="D83" s="1" t="s">
        <v>52</v>
      </c>
      <c r="E83" s="1"/>
      <c r="F83" s="1"/>
      <c r="G83" s="1"/>
      <c r="H83" s="1">
        <v>1</v>
      </c>
      <c r="I83" s="1">
        <v>2641</v>
      </c>
      <c r="J83" s="1">
        <v>47.75</v>
      </c>
      <c r="K83" s="1">
        <v>818</v>
      </c>
      <c r="L83" s="1">
        <v>1.4E-2</v>
      </c>
      <c r="M83" s="1">
        <v>3.1159999999999998E-4</v>
      </c>
      <c r="N83" s="1">
        <v>0.27900000000000003</v>
      </c>
    </row>
    <row r="84" spans="1:14">
      <c r="A84" s="1" t="s">
        <v>14</v>
      </c>
      <c r="B84" s="1" t="s">
        <v>53</v>
      </c>
      <c r="C84" s="1">
        <v>28</v>
      </c>
      <c r="D84" s="1" t="s">
        <v>52</v>
      </c>
      <c r="E84" s="1"/>
      <c r="F84" s="1"/>
      <c r="G84" s="1"/>
      <c r="H84" s="1">
        <v>2</v>
      </c>
      <c r="I84" s="1">
        <v>2642</v>
      </c>
      <c r="J84" s="1">
        <v>48.874000000000002</v>
      </c>
      <c r="K84" s="1">
        <v>818</v>
      </c>
      <c r="L84" s="1">
        <v>1.4E-2</v>
      </c>
      <c r="M84" s="1">
        <v>3.1149999999999998E-4</v>
      </c>
      <c r="N84" s="1">
        <v>0</v>
      </c>
    </row>
    <row r="85" spans="1:14">
      <c r="A85" s="1" t="s">
        <v>14</v>
      </c>
      <c r="B85" s="1" t="s">
        <v>53</v>
      </c>
      <c r="C85" s="1">
        <v>28</v>
      </c>
      <c r="D85" s="1" t="s">
        <v>52</v>
      </c>
      <c r="E85" s="1"/>
      <c r="F85" s="1"/>
      <c r="G85" s="1"/>
      <c r="H85" s="1">
        <v>3</v>
      </c>
      <c r="I85" s="1">
        <v>2784</v>
      </c>
      <c r="J85" s="1">
        <v>24.375</v>
      </c>
      <c r="K85" s="1">
        <v>965</v>
      </c>
      <c r="L85" s="1">
        <v>8.0000000000000002E-3</v>
      </c>
      <c r="M85" s="1">
        <v>3.4820000000000001E-4</v>
      </c>
      <c r="N85" s="1">
        <v>117.697</v>
      </c>
    </row>
    <row r="86" spans="1:14">
      <c r="A86" s="1" t="s">
        <v>14</v>
      </c>
      <c r="B86" s="1" t="s">
        <v>54</v>
      </c>
      <c r="C86" s="1">
        <v>29</v>
      </c>
      <c r="D86" s="1" t="s">
        <v>55</v>
      </c>
      <c r="E86" s="1"/>
      <c r="F86" s="1"/>
      <c r="G86" s="1"/>
      <c r="H86" s="1">
        <v>1</v>
      </c>
      <c r="I86" s="1">
        <v>2643</v>
      </c>
      <c r="J86" s="1">
        <v>47.963000000000001</v>
      </c>
      <c r="K86" s="1">
        <v>819</v>
      </c>
      <c r="L86" s="1">
        <v>1.4E-2</v>
      </c>
      <c r="M86" s="1">
        <v>3.1169999999999999E-4</v>
      </c>
      <c r="N86" s="1">
        <v>0.58799999999999997</v>
      </c>
    </row>
    <row r="87" spans="1:14">
      <c r="A87" s="1" t="s">
        <v>14</v>
      </c>
      <c r="B87" s="1" t="s">
        <v>54</v>
      </c>
      <c r="C87" s="1">
        <v>29</v>
      </c>
      <c r="D87" s="1" t="s">
        <v>55</v>
      </c>
      <c r="E87" s="1"/>
      <c r="F87" s="1"/>
      <c r="G87" s="1"/>
      <c r="H87" s="1">
        <v>2</v>
      </c>
      <c r="I87" s="1">
        <v>2644</v>
      </c>
      <c r="J87" s="1">
        <v>48.895000000000003</v>
      </c>
      <c r="K87" s="1">
        <v>817</v>
      </c>
      <c r="L87" s="1">
        <v>1.4E-2</v>
      </c>
      <c r="M87" s="1">
        <v>3.1149999999999998E-4</v>
      </c>
      <c r="N87" s="1">
        <v>0</v>
      </c>
    </row>
    <row r="88" spans="1:14">
      <c r="A88" s="1" t="s">
        <v>14</v>
      </c>
      <c r="B88" s="1" t="s">
        <v>54</v>
      </c>
      <c r="C88" s="1">
        <v>29</v>
      </c>
      <c r="D88" s="1" t="s">
        <v>55</v>
      </c>
      <c r="E88" s="1"/>
      <c r="F88" s="1"/>
      <c r="G88" s="1"/>
      <c r="H88" s="1">
        <v>3</v>
      </c>
      <c r="I88" s="1">
        <v>2833</v>
      </c>
      <c r="J88" s="1">
        <v>24.155000000000001</v>
      </c>
      <c r="K88" s="1">
        <v>1039</v>
      </c>
      <c r="L88" s="1">
        <v>8.0000000000000002E-3</v>
      </c>
      <c r="M88" s="1">
        <v>3.6979999999999999E-4</v>
      </c>
      <c r="N88" s="1">
        <v>187.155</v>
      </c>
    </row>
    <row r="89" spans="1:14">
      <c r="A89" s="1" t="s">
        <v>14</v>
      </c>
      <c r="B89" s="1" t="s">
        <v>56</v>
      </c>
      <c r="C89" s="1">
        <v>30</v>
      </c>
      <c r="D89" s="1" t="s">
        <v>55</v>
      </c>
      <c r="E89" s="1"/>
      <c r="F89" s="1"/>
      <c r="G89" s="1"/>
      <c r="H89" s="1">
        <v>1</v>
      </c>
      <c r="I89" s="1">
        <v>2645</v>
      </c>
      <c r="J89" s="1">
        <v>47.863999999999997</v>
      </c>
      <c r="K89" s="1">
        <v>818</v>
      </c>
      <c r="L89" s="1">
        <v>1.4E-2</v>
      </c>
      <c r="M89" s="1">
        <v>3.1169999999999999E-4</v>
      </c>
      <c r="N89" s="1">
        <v>0.623</v>
      </c>
    </row>
    <row r="90" spans="1:14">
      <c r="A90" s="1" t="s">
        <v>14</v>
      </c>
      <c r="B90" s="1" t="s">
        <v>56</v>
      </c>
      <c r="C90" s="1">
        <v>30</v>
      </c>
      <c r="D90" s="1" t="s">
        <v>55</v>
      </c>
      <c r="E90" s="1"/>
      <c r="F90" s="1"/>
      <c r="G90" s="1"/>
      <c r="H90" s="1">
        <v>2</v>
      </c>
      <c r="I90" s="1">
        <v>2643</v>
      </c>
      <c r="J90" s="1">
        <v>48.905999999999999</v>
      </c>
      <c r="K90" s="1">
        <v>818</v>
      </c>
      <c r="L90" s="1">
        <v>1.4E-2</v>
      </c>
      <c r="M90" s="1">
        <v>3.1149999999999998E-4</v>
      </c>
      <c r="N90" s="1">
        <v>0</v>
      </c>
    </row>
    <row r="91" spans="1:14">
      <c r="A91" s="1" t="s">
        <v>14</v>
      </c>
      <c r="B91" s="1" t="s">
        <v>56</v>
      </c>
      <c r="C91" s="1">
        <v>30</v>
      </c>
      <c r="D91" s="1" t="s">
        <v>55</v>
      </c>
      <c r="E91" s="1"/>
      <c r="F91" s="1"/>
      <c r="G91" s="1"/>
      <c r="H91" s="1">
        <v>3</v>
      </c>
      <c r="I91" s="1">
        <v>2833</v>
      </c>
      <c r="J91" s="1">
        <v>24.847999999999999</v>
      </c>
      <c r="K91" s="1">
        <v>1040</v>
      </c>
      <c r="L91" s="1">
        <v>8.0000000000000002E-3</v>
      </c>
      <c r="M91" s="1">
        <v>3.6949999999999998E-4</v>
      </c>
      <c r="N91" s="1">
        <v>186.22900000000001</v>
      </c>
    </row>
    <row r="92" spans="1:14">
      <c r="A92" s="1" t="s">
        <v>14</v>
      </c>
      <c r="B92" s="1" t="s">
        <v>57</v>
      </c>
      <c r="C92" s="1">
        <v>31</v>
      </c>
      <c r="D92" s="1" t="s">
        <v>58</v>
      </c>
      <c r="E92" s="1"/>
      <c r="F92" s="1"/>
      <c r="G92" s="1"/>
      <c r="H92" s="1">
        <v>1</v>
      </c>
      <c r="I92" s="1">
        <v>2641</v>
      </c>
      <c r="J92" s="1">
        <v>47.953000000000003</v>
      </c>
      <c r="K92" s="1">
        <v>817</v>
      </c>
      <c r="L92" s="1">
        <v>1.4E-2</v>
      </c>
      <c r="M92" s="1">
        <v>3.1169999999999999E-4</v>
      </c>
      <c r="N92" s="1">
        <v>0.73899999999999999</v>
      </c>
    </row>
    <row r="93" spans="1:14">
      <c r="A93" s="1" t="s">
        <v>14</v>
      </c>
      <c r="B93" s="1" t="s">
        <v>57</v>
      </c>
      <c r="C93" s="1">
        <v>31</v>
      </c>
      <c r="D93" s="1" t="s">
        <v>58</v>
      </c>
      <c r="E93" s="1"/>
      <c r="F93" s="1"/>
      <c r="G93" s="1"/>
      <c r="H93" s="1">
        <v>2</v>
      </c>
      <c r="I93" s="1">
        <v>2640</v>
      </c>
      <c r="J93" s="1">
        <v>48.817</v>
      </c>
      <c r="K93" s="1">
        <v>816</v>
      </c>
      <c r="L93" s="1">
        <v>1.4E-2</v>
      </c>
      <c r="M93" s="1">
        <v>3.1149999999999998E-4</v>
      </c>
      <c r="N93" s="1">
        <v>0</v>
      </c>
    </row>
    <row r="94" spans="1:14">
      <c r="A94" s="1" t="s">
        <v>14</v>
      </c>
      <c r="B94" s="1" t="s">
        <v>57</v>
      </c>
      <c r="C94" s="1">
        <v>31</v>
      </c>
      <c r="D94" s="1" t="s">
        <v>58</v>
      </c>
      <c r="E94" s="1"/>
      <c r="F94" s="1"/>
      <c r="G94" s="1"/>
      <c r="H94" s="1">
        <v>3</v>
      </c>
      <c r="I94" s="1">
        <v>2753</v>
      </c>
      <c r="J94" s="1">
        <v>24.055</v>
      </c>
      <c r="K94" s="1">
        <v>1043</v>
      </c>
      <c r="L94" s="1">
        <v>8.0000000000000002E-3</v>
      </c>
      <c r="M94" s="1">
        <v>3.8319999999999999E-4</v>
      </c>
      <c r="N94" s="1">
        <v>230.29599999999999</v>
      </c>
    </row>
    <row r="95" spans="1:14">
      <c r="A95" s="1" t="s">
        <v>14</v>
      </c>
      <c r="B95" s="1" t="s">
        <v>59</v>
      </c>
      <c r="C95" s="1">
        <v>32</v>
      </c>
      <c r="D95" s="1" t="s">
        <v>58</v>
      </c>
      <c r="E95" s="1"/>
      <c r="F95" s="1"/>
      <c r="G95" s="1"/>
      <c r="H95" s="1">
        <v>1</v>
      </c>
      <c r="I95" s="1">
        <v>2647</v>
      </c>
      <c r="J95" s="1">
        <v>47.814999999999998</v>
      </c>
      <c r="K95" s="1">
        <v>819</v>
      </c>
      <c r="L95" s="1">
        <v>1.4E-2</v>
      </c>
      <c r="M95" s="1">
        <v>3.1139999999999998E-4</v>
      </c>
      <c r="N95" s="1">
        <v>-0.22800000000000001</v>
      </c>
    </row>
    <row r="96" spans="1:14">
      <c r="A96" s="1" t="s">
        <v>14</v>
      </c>
      <c r="B96" s="1" t="s">
        <v>59</v>
      </c>
      <c r="C96" s="1">
        <v>32</v>
      </c>
      <c r="D96" s="1" t="s">
        <v>58</v>
      </c>
      <c r="E96" s="1"/>
      <c r="F96" s="1"/>
      <c r="G96" s="1"/>
      <c r="H96" s="1">
        <v>2</v>
      </c>
      <c r="I96" s="1">
        <v>2643</v>
      </c>
      <c r="J96" s="1">
        <v>49.030999999999999</v>
      </c>
      <c r="K96" s="1">
        <v>817</v>
      </c>
      <c r="L96" s="1">
        <v>1.4E-2</v>
      </c>
      <c r="M96" s="1">
        <v>3.1149999999999998E-4</v>
      </c>
      <c r="N96" s="1">
        <v>0</v>
      </c>
    </row>
    <row r="97" spans="1:14">
      <c r="A97" s="1" t="s">
        <v>14</v>
      </c>
      <c r="B97" s="1" t="s">
        <v>59</v>
      </c>
      <c r="C97" s="1">
        <v>32</v>
      </c>
      <c r="D97" s="1" t="s">
        <v>58</v>
      </c>
      <c r="E97" s="1"/>
      <c r="F97" s="1"/>
      <c r="G97" s="1"/>
      <c r="H97" s="1">
        <v>3</v>
      </c>
      <c r="I97" s="1">
        <v>2755</v>
      </c>
      <c r="J97" s="1">
        <v>24.138999999999999</v>
      </c>
      <c r="K97" s="1">
        <v>1044</v>
      </c>
      <c r="L97" s="1">
        <v>8.0000000000000002E-3</v>
      </c>
      <c r="M97" s="1">
        <v>3.8259999999999998E-4</v>
      </c>
      <c r="N97" s="1">
        <v>228.37299999999999</v>
      </c>
    </row>
    <row r="98" spans="1:14">
      <c r="A98" s="1" t="s">
        <v>14</v>
      </c>
      <c r="B98" s="1" t="s">
        <v>60</v>
      </c>
      <c r="C98" s="1">
        <v>33</v>
      </c>
      <c r="D98" s="1" t="s">
        <v>61</v>
      </c>
      <c r="E98" s="1"/>
      <c r="F98" s="1"/>
      <c r="G98" s="1"/>
      <c r="H98" s="1">
        <v>1</v>
      </c>
      <c r="I98" s="1">
        <v>2639</v>
      </c>
      <c r="J98" s="1">
        <v>47.918999999999997</v>
      </c>
      <c r="K98" s="1">
        <v>817</v>
      </c>
      <c r="L98" s="1">
        <v>1.4E-2</v>
      </c>
      <c r="M98" s="1">
        <v>3.1159999999999998E-4</v>
      </c>
      <c r="N98" s="1">
        <v>0.443</v>
      </c>
    </row>
    <row r="99" spans="1:14">
      <c r="A99" s="1" t="s">
        <v>14</v>
      </c>
      <c r="B99" s="1" t="s">
        <v>60</v>
      </c>
      <c r="C99" s="1">
        <v>33</v>
      </c>
      <c r="D99" s="1" t="s">
        <v>61</v>
      </c>
      <c r="E99" s="1"/>
      <c r="F99" s="1"/>
      <c r="G99" s="1"/>
      <c r="H99" s="1">
        <v>2</v>
      </c>
      <c r="I99" s="1">
        <v>2640</v>
      </c>
      <c r="J99" s="1">
        <v>49.073</v>
      </c>
      <c r="K99" s="1">
        <v>817</v>
      </c>
      <c r="L99" s="1">
        <v>1.4E-2</v>
      </c>
      <c r="M99" s="1">
        <v>3.1149999999999998E-4</v>
      </c>
      <c r="N99" s="1">
        <v>0</v>
      </c>
    </row>
    <row r="100" spans="1:14">
      <c r="A100" s="1" t="s">
        <v>14</v>
      </c>
      <c r="B100" s="1" t="s">
        <v>60</v>
      </c>
      <c r="C100" s="1">
        <v>33</v>
      </c>
      <c r="D100" s="1" t="s">
        <v>61</v>
      </c>
      <c r="E100" s="1"/>
      <c r="F100" s="1"/>
      <c r="G100" s="1"/>
      <c r="H100" s="1">
        <v>3</v>
      </c>
      <c r="I100" s="1">
        <v>2751</v>
      </c>
      <c r="J100" s="1">
        <v>24.088000000000001</v>
      </c>
      <c r="K100" s="1">
        <v>1031</v>
      </c>
      <c r="L100" s="1">
        <v>8.0000000000000002E-3</v>
      </c>
      <c r="M100" s="1">
        <v>3.791E-4</v>
      </c>
      <c r="N100" s="1">
        <v>217.00700000000001</v>
      </c>
    </row>
    <row r="101" spans="1:14">
      <c r="A101" s="1" t="s">
        <v>14</v>
      </c>
      <c r="B101" s="1" t="s">
        <v>62</v>
      </c>
      <c r="C101" s="1">
        <v>34</v>
      </c>
      <c r="D101" s="1" t="s">
        <v>61</v>
      </c>
      <c r="E101" s="1"/>
      <c r="F101" s="1"/>
      <c r="G101" s="1"/>
      <c r="H101" s="1">
        <v>1</v>
      </c>
      <c r="I101" s="1">
        <v>2642</v>
      </c>
      <c r="J101" s="1">
        <v>48.075000000000003</v>
      </c>
      <c r="K101" s="1">
        <v>818</v>
      </c>
      <c r="L101" s="1">
        <v>1.4E-2</v>
      </c>
      <c r="M101" s="1">
        <v>3.1169999999999999E-4</v>
      </c>
      <c r="N101" s="1">
        <v>0.72299999999999998</v>
      </c>
    </row>
    <row r="102" spans="1:14">
      <c r="A102" s="1" t="s">
        <v>14</v>
      </c>
      <c r="B102" s="1" t="s">
        <v>62</v>
      </c>
      <c r="C102" s="1">
        <v>34</v>
      </c>
      <c r="D102" s="1" t="s">
        <v>61</v>
      </c>
      <c r="E102" s="1"/>
      <c r="F102" s="1"/>
      <c r="G102" s="1"/>
      <c r="H102" s="1">
        <v>2</v>
      </c>
      <c r="I102" s="1">
        <v>2644</v>
      </c>
      <c r="J102" s="1">
        <v>48.963000000000001</v>
      </c>
      <c r="K102" s="1">
        <v>818</v>
      </c>
      <c r="L102" s="1">
        <v>1.4E-2</v>
      </c>
      <c r="M102" s="1">
        <v>3.1149999999999998E-4</v>
      </c>
      <c r="N102" s="1">
        <v>0</v>
      </c>
    </row>
    <row r="103" spans="1:14">
      <c r="A103" s="1" t="s">
        <v>14</v>
      </c>
      <c r="B103" s="1" t="s">
        <v>62</v>
      </c>
      <c r="C103" s="1">
        <v>34</v>
      </c>
      <c r="D103" s="1" t="s">
        <v>61</v>
      </c>
      <c r="E103" s="1"/>
      <c r="F103" s="1"/>
      <c r="G103" s="1"/>
      <c r="H103" s="1">
        <v>3</v>
      </c>
      <c r="I103" s="1">
        <v>2818</v>
      </c>
      <c r="J103" s="1">
        <v>24.712</v>
      </c>
      <c r="K103" s="1">
        <v>1056</v>
      </c>
      <c r="L103" s="1">
        <v>8.9999999999999993E-3</v>
      </c>
      <c r="M103" s="1">
        <v>3.7859999999999999E-4</v>
      </c>
      <c r="N103" s="1">
        <v>215.328</v>
      </c>
    </row>
    <row r="104" spans="1:14">
      <c r="A104" s="1" t="s">
        <v>14</v>
      </c>
      <c r="B104" s="1" t="s">
        <v>63</v>
      </c>
      <c r="C104" s="1">
        <v>35</v>
      </c>
      <c r="D104" s="1" t="s">
        <v>20</v>
      </c>
      <c r="E104" s="1"/>
      <c r="F104" s="1"/>
      <c r="G104" s="1"/>
      <c r="H104" s="1">
        <v>1</v>
      </c>
      <c r="I104" s="1">
        <v>2639</v>
      </c>
      <c r="J104" s="1">
        <v>47.918999999999997</v>
      </c>
      <c r="K104" s="1">
        <v>816</v>
      </c>
      <c r="L104" s="1">
        <v>1.4E-2</v>
      </c>
      <c r="M104" s="1">
        <v>3.1149999999999998E-4</v>
      </c>
      <c r="N104" s="1">
        <v>-0.158</v>
      </c>
    </row>
    <row r="105" spans="1:14">
      <c r="A105" s="1" t="s">
        <v>14</v>
      </c>
      <c r="B105" s="1" t="s">
        <v>63</v>
      </c>
      <c r="C105" s="1">
        <v>35</v>
      </c>
      <c r="D105" s="1" t="s">
        <v>20</v>
      </c>
      <c r="E105" s="1"/>
      <c r="F105" s="1"/>
      <c r="G105" s="1"/>
      <c r="H105" s="1">
        <v>2</v>
      </c>
      <c r="I105" s="1">
        <v>2639</v>
      </c>
      <c r="J105" s="1">
        <v>48.899000000000001</v>
      </c>
      <c r="K105" s="1">
        <v>817</v>
      </c>
      <c r="L105" s="1">
        <v>1.4E-2</v>
      </c>
      <c r="M105" s="1">
        <v>3.1149999999999998E-4</v>
      </c>
      <c r="N105" s="1">
        <v>0</v>
      </c>
    </row>
    <row r="106" spans="1:14">
      <c r="A106" s="1" t="s">
        <v>14</v>
      </c>
      <c r="B106" s="1" t="s">
        <v>63</v>
      </c>
      <c r="C106" s="1">
        <v>35</v>
      </c>
      <c r="D106" s="1" t="s">
        <v>20</v>
      </c>
      <c r="E106" s="1"/>
      <c r="F106" s="1"/>
      <c r="G106" s="1"/>
      <c r="H106" s="1">
        <v>3</v>
      </c>
      <c r="I106" s="1">
        <v>2806</v>
      </c>
      <c r="J106" s="1">
        <v>24.702000000000002</v>
      </c>
      <c r="K106" s="1">
        <v>1045</v>
      </c>
      <c r="L106" s="1">
        <v>8.9999999999999993E-3</v>
      </c>
      <c r="M106" s="1">
        <v>3.7599999999999998E-4</v>
      </c>
      <c r="N106" s="1">
        <v>207.22200000000001</v>
      </c>
    </row>
    <row r="107" spans="1:14">
      <c r="A107" s="1" t="s">
        <v>14</v>
      </c>
      <c r="B107" s="1" t="s">
        <v>64</v>
      </c>
      <c r="C107" s="1">
        <v>36</v>
      </c>
      <c r="D107" s="1" t="s">
        <v>20</v>
      </c>
      <c r="E107" s="1"/>
      <c r="F107" s="1"/>
      <c r="G107" s="1"/>
      <c r="H107" s="1">
        <v>1</v>
      </c>
      <c r="I107" s="1">
        <v>2641</v>
      </c>
      <c r="J107" s="1">
        <v>47.631</v>
      </c>
      <c r="K107" s="1">
        <v>817</v>
      </c>
      <c r="L107" s="1">
        <v>1.4E-2</v>
      </c>
      <c r="M107" s="1">
        <v>3.1149999999999998E-4</v>
      </c>
      <c r="N107" s="1">
        <v>-0.154</v>
      </c>
    </row>
    <row r="108" spans="1:14">
      <c r="A108" s="1" t="s">
        <v>14</v>
      </c>
      <c r="B108" s="1" t="s">
        <v>64</v>
      </c>
      <c r="C108" s="1">
        <v>36</v>
      </c>
      <c r="D108" s="1" t="s">
        <v>20</v>
      </c>
      <c r="E108" s="1"/>
      <c r="F108" s="1"/>
      <c r="G108" s="1"/>
      <c r="H108" s="1">
        <v>2</v>
      </c>
      <c r="I108" s="1">
        <v>2641</v>
      </c>
      <c r="J108" s="1">
        <v>48.908000000000001</v>
      </c>
      <c r="K108" s="1">
        <v>817</v>
      </c>
      <c r="L108" s="1">
        <v>1.4E-2</v>
      </c>
      <c r="M108" s="1">
        <v>3.1149999999999998E-4</v>
      </c>
      <c r="N108" s="1">
        <v>0</v>
      </c>
    </row>
    <row r="109" spans="1:14">
      <c r="A109" s="1" t="s">
        <v>14</v>
      </c>
      <c r="B109" s="1" t="s">
        <v>64</v>
      </c>
      <c r="C109" s="1">
        <v>36</v>
      </c>
      <c r="D109" s="1" t="s">
        <v>20</v>
      </c>
      <c r="E109" s="1"/>
      <c r="F109" s="1"/>
      <c r="G109" s="1"/>
      <c r="H109" s="1">
        <v>3</v>
      </c>
      <c r="I109" s="1">
        <v>2823</v>
      </c>
      <c r="J109" s="1">
        <v>24.896999999999998</v>
      </c>
      <c r="K109" s="1">
        <v>1051</v>
      </c>
      <c r="L109" s="1">
        <v>8.9999999999999993E-3</v>
      </c>
      <c r="M109" s="1">
        <v>3.7560000000000002E-4</v>
      </c>
      <c r="N109" s="1">
        <v>205.64</v>
      </c>
    </row>
    <row r="110" spans="1:14">
      <c r="A110" s="1" t="s">
        <v>14</v>
      </c>
      <c r="B110" s="1" t="s">
        <v>65</v>
      </c>
      <c r="C110" s="1">
        <v>37</v>
      </c>
      <c r="D110" s="1" t="s">
        <v>66</v>
      </c>
      <c r="E110" s="1"/>
      <c r="F110" s="1"/>
      <c r="G110" s="1"/>
      <c r="H110" s="1">
        <v>1</v>
      </c>
      <c r="I110" s="1">
        <v>2646</v>
      </c>
      <c r="J110" s="1">
        <v>48.046999999999997</v>
      </c>
      <c r="K110" s="1">
        <v>819</v>
      </c>
      <c r="L110" s="1">
        <v>1.4E-2</v>
      </c>
      <c r="M110" s="1">
        <v>3.1169999999999999E-4</v>
      </c>
      <c r="N110" s="1">
        <v>0.71899999999999997</v>
      </c>
    </row>
    <row r="111" spans="1:14">
      <c r="A111" s="1" t="s">
        <v>14</v>
      </c>
      <c r="B111" s="1" t="s">
        <v>65</v>
      </c>
      <c r="C111" s="1">
        <v>37</v>
      </c>
      <c r="D111" s="1" t="s">
        <v>66</v>
      </c>
      <c r="E111" s="1"/>
      <c r="F111" s="1"/>
      <c r="G111" s="1"/>
      <c r="H111" s="1">
        <v>2</v>
      </c>
      <c r="I111" s="1">
        <v>2643</v>
      </c>
      <c r="J111" s="1">
        <v>48.963000000000001</v>
      </c>
      <c r="K111" s="1">
        <v>818</v>
      </c>
      <c r="L111" s="1">
        <v>1.4E-2</v>
      </c>
      <c r="M111" s="1">
        <v>3.1149999999999998E-4</v>
      </c>
      <c r="N111" s="1">
        <v>0</v>
      </c>
    </row>
    <row r="112" spans="1:14">
      <c r="A112" s="1" t="s">
        <v>14</v>
      </c>
      <c r="B112" s="1" t="s">
        <v>65</v>
      </c>
      <c r="C112" s="1">
        <v>37</v>
      </c>
      <c r="D112" s="1" t="s">
        <v>66</v>
      </c>
      <c r="E112" s="1"/>
      <c r="F112" s="1"/>
      <c r="G112" s="1"/>
      <c r="H112" s="1">
        <v>3</v>
      </c>
      <c r="I112" s="1">
        <v>2777</v>
      </c>
      <c r="J112" s="1">
        <v>24.265999999999998</v>
      </c>
      <c r="K112" s="1">
        <v>1054</v>
      </c>
      <c r="L112" s="1">
        <v>8.9999999999999993E-3</v>
      </c>
      <c r="M112" s="1">
        <v>3.8390000000000001E-4</v>
      </c>
      <c r="N112" s="1">
        <v>232.46899999999999</v>
      </c>
    </row>
    <row r="113" spans="1:14">
      <c r="A113" s="1" t="s">
        <v>14</v>
      </c>
      <c r="B113" s="1" t="s">
        <v>67</v>
      </c>
      <c r="C113" s="1">
        <v>38</v>
      </c>
      <c r="D113" s="1" t="s">
        <v>66</v>
      </c>
      <c r="E113" s="1"/>
      <c r="F113" s="1"/>
      <c r="G113" s="1"/>
      <c r="H113" s="1">
        <v>1</v>
      </c>
      <c r="I113" s="1">
        <v>2640</v>
      </c>
      <c r="J113" s="1">
        <v>47.677</v>
      </c>
      <c r="K113" s="1">
        <v>817</v>
      </c>
      <c r="L113" s="1">
        <v>1.4E-2</v>
      </c>
      <c r="M113" s="1">
        <v>3.1179999999999999E-4</v>
      </c>
      <c r="N113" s="1">
        <v>0.88900000000000001</v>
      </c>
    </row>
    <row r="114" spans="1:14">
      <c r="A114" s="1" t="s">
        <v>14</v>
      </c>
      <c r="B114" s="1" t="s">
        <v>67</v>
      </c>
      <c r="C114" s="1">
        <v>38</v>
      </c>
      <c r="D114" s="1" t="s">
        <v>66</v>
      </c>
      <c r="E114" s="1"/>
      <c r="F114" s="1"/>
      <c r="G114" s="1"/>
      <c r="H114" s="1">
        <v>2</v>
      </c>
      <c r="I114" s="1">
        <v>2640</v>
      </c>
      <c r="J114" s="1">
        <v>48.838000000000001</v>
      </c>
      <c r="K114" s="1">
        <v>816</v>
      </c>
      <c r="L114" s="1">
        <v>1.4E-2</v>
      </c>
      <c r="M114" s="1">
        <v>3.1149999999999998E-4</v>
      </c>
      <c r="N114" s="1">
        <v>0</v>
      </c>
    </row>
    <row r="115" spans="1:14">
      <c r="A115" s="1" t="s">
        <v>14</v>
      </c>
      <c r="B115" s="1" t="s">
        <v>67</v>
      </c>
      <c r="C115" s="1">
        <v>38</v>
      </c>
      <c r="D115" s="1" t="s">
        <v>66</v>
      </c>
      <c r="E115" s="1"/>
      <c r="F115" s="1"/>
      <c r="G115" s="1"/>
      <c r="H115" s="1">
        <v>3</v>
      </c>
      <c r="I115" s="1">
        <v>2800</v>
      </c>
      <c r="J115" s="1">
        <v>24.577000000000002</v>
      </c>
      <c r="K115" s="1">
        <v>1063</v>
      </c>
      <c r="L115" s="1">
        <v>8.9999999999999993E-3</v>
      </c>
      <c r="M115" s="1">
        <v>3.8470000000000003E-4</v>
      </c>
      <c r="N115" s="1">
        <v>234.97</v>
      </c>
    </row>
    <row r="116" spans="1:14">
      <c r="A116" s="1" t="s">
        <v>14</v>
      </c>
      <c r="B116" s="1" t="s">
        <v>68</v>
      </c>
      <c r="C116" s="1">
        <v>39</v>
      </c>
      <c r="D116" s="1" t="s">
        <v>69</v>
      </c>
      <c r="E116" s="1"/>
      <c r="F116" s="1"/>
      <c r="G116" s="1"/>
      <c r="H116" s="1">
        <v>1</v>
      </c>
      <c r="I116" s="1">
        <v>2640</v>
      </c>
      <c r="J116" s="1">
        <v>47.728999999999999</v>
      </c>
      <c r="K116" s="1">
        <v>817</v>
      </c>
      <c r="L116" s="1">
        <v>1.4E-2</v>
      </c>
      <c r="M116" s="1">
        <v>3.1189999999999999E-4</v>
      </c>
      <c r="N116" s="1">
        <v>1.196</v>
      </c>
    </row>
    <row r="117" spans="1:14">
      <c r="A117" s="1" t="s">
        <v>14</v>
      </c>
      <c r="B117" s="1" t="s">
        <v>68</v>
      </c>
      <c r="C117" s="1">
        <v>39</v>
      </c>
      <c r="D117" s="1" t="s">
        <v>69</v>
      </c>
      <c r="E117" s="1"/>
      <c r="F117" s="1"/>
      <c r="G117" s="1"/>
      <c r="H117" s="1">
        <v>2</v>
      </c>
      <c r="I117" s="1">
        <v>2642</v>
      </c>
      <c r="J117" s="1">
        <v>48.851999999999997</v>
      </c>
      <c r="K117" s="1">
        <v>817</v>
      </c>
      <c r="L117" s="1">
        <v>1.4E-2</v>
      </c>
      <c r="M117" s="1">
        <v>3.1149999999999998E-4</v>
      </c>
      <c r="N117" s="1">
        <v>0</v>
      </c>
    </row>
    <row r="118" spans="1:14">
      <c r="A118" s="1" t="s">
        <v>14</v>
      </c>
      <c r="B118" s="1" t="s">
        <v>68</v>
      </c>
      <c r="C118" s="1">
        <v>39</v>
      </c>
      <c r="D118" s="1" t="s">
        <v>69</v>
      </c>
      <c r="E118" s="1"/>
      <c r="F118" s="1"/>
      <c r="G118" s="1"/>
      <c r="H118" s="1">
        <v>3</v>
      </c>
      <c r="I118" s="1">
        <v>2771</v>
      </c>
      <c r="J118" s="1">
        <v>24.385999999999999</v>
      </c>
      <c r="K118" s="1">
        <v>1041</v>
      </c>
      <c r="L118" s="1">
        <v>8.9999999999999993E-3</v>
      </c>
      <c r="M118" s="1">
        <v>3.8049999999999998E-4</v>
      </c>
      <c r="N118" s="1">
        <v>221.518</v>
      </c>
    </row>
    <row r="119" spans="1:14">
      <c r="A119" s="1" t="s">
        <v>70</v>
      </c>
      <c r="B119" s="1" t="s">
        <v>71</v>
      </c>
      <c r="C119" s="1">
        <v>40</v>
      </c>
      <c r="D119" s="1" t="s">
        <v>69</v>
      </c>
      <c r="E119" s="1"/>
      <c r="F119" s="1"/>
      <c r="G119" s="1"/>
      <c r="H119" s="1">
        <v>1</v>
      </c>
      <c r="I119" s="1">
        <v>2647</v>
      </c>
      <c r="J119" s="1">
        <v>47.869</v>
      </c>
      <c r="K119" s="1">
        <v>818</v>
      </c>
      <c r="L119" s="1">
        <v>1.4E-2</v>
      </c>
      <c r="M119" s="1">
        <v>3.1119999999999997E-4</v>
      </c>
      <c r="N119" s="1">
        <v>-0.98099999999999998</v>
      </c>
    </row>
    <row r="120" spans="1:14">
      <c r="A120" s="1" t="s">
        <v>70</v>
      </c>
      <c r="B120" s="1" t="s">
        <v>71</v>
      </c>
      <c r="C120" s="1">
        <v>40</v>
      </c>
      <c r="D120" s="1" t="s">
        <v>69</v>
      </c>
      <c r="E120" s="1"/>
      <c r="F120" s="1"/>
      <c r="G120" s="1"/>
      <c r="H120" s="1">
        <v>2</v>
      </c>
      <c r="I120" s="1">
        <v>2642</v>
      </c>
      <c r="J120" s="1">
        <v>48.787999999999997</v>
      </c>
      <c r="K120" s="1">
        <v>817</v>
      </c>
      <c r="L120" s="1">
        <v>1.4E-2</v>
      </c>
      <c r="M120" s="1">
        <v>3.1149999999999998E-4</v>
      </c>
      <c r="N120" s="1">
        <v>0</v>
      </c>
    </row>
    <row r="121" spans="1:14">
      <c r="A121" s="1" t="s">
        <v>70</v>
      </c>
      <c r="B121" s="1" t="s">
        <v>71</v>
      </c>
      <c r="C121" s="1">
        <v>40</v>
      </c>
      <c r="D121" s="1" t="s">
        <v>69</v>
      </c>
      <c r="E121" s="1"/>
      <c r="F121" s="1"/>
      <c r="G121" s="1"/>
      <c r="H121" s="1">
        <v>3</v>
      </c>
      <c r="I121" s="1">
        <v>2795</v>
      </c>
      <c r="J121" s="1">
        <v>24.815000000000001</v>
      </c>
      <c r="K121" s="1">
        <v>1051</v>
      </c>
      <c r="L121" s="1">
        <v>8.9999999999999993E-3</v>
      </c>
      <c r="M121" s="1">
        <v>3.7960000000000001E-4</v>
      </c>
      <c r="N121" s="1">
        <v>218.71299999999999</v>
      </c>
    </row>
    <row r="122" spans="1:14">
      <c r="A122" s="1" t="s">
        <v>70</v>
      </c>
      <c r="B122" s="1" t="s">
        <v>72</v>
      </c>
      <c r="C122" s="1">
        <v>41</v>
      </c>
      <c r="D122" s="1" t="s">
        <v>73</v>
      </c>
      <c r="E122" s="1"/>
      <c r="F122" s="1"/>
      <c r="G122" s="1"/>
      <c r="H122" s="1">
        <v>1</v>
      </c>
      <c r="I122" s="1">
        <v>2638</v>
      </c>
      <c r="J122" s="1">
        <v>47.734000000000002</v>
      </c>
      <c r="K122" s="1">
        <v>816</v>
      </c>
      <c r="L122" s="1">
        <v>1.4E-2</v>
      </c>
      <c r="M122" s="1">
        <v>3.1179999999999999E-4</v>
      </c>
      <c r="N122" s="1">
        <v>0.98899999999999999</v>
      </c>
    </row>
    <row r="123" spans="1:14">
      <c r="A123" s="1" t="s">
        <v>70</v>
      </c>
      <c r="B123" s="1" t="s">
        <v>72</v>
      </c>
      <c r="C123" s="1">
        <v>41</v>
      </c>
      <c r="D123" s="1" t="s">
        <v>73</v>
      </c>
      <c r="E123" s="1"/>
      <c r="F123" s="1"/>
      <c r="G123" s="1"/>
      <c r="H123" s="1">
        <v>2</v>
      </c>
      <c r="I123" s="1">
        <v>2637</v>
      </c>
      <c r="J123" s="1">
        <v>48.781999999999996</v>
      </c>
      <c r="K123" s="1">
        <v>815</v>
      </c>
      <c r="L123" s="1">
        <v>1.4E-2</v>
      </c>
      <c r="M123" s="1">
        <v>3.1149999999999998E-4</v>
      </c>
      <c r="N123" s="1">
        <v>0</v>
      </c>
    </row>
    <row r="124" spans="1:14">
      <c r="A124" s="1" t="s">
        <v>70</v>
      </c>
      <c r="B124" s="1" t="s">
        <v>72</v>
      </c>
      <c r="C124" s="1">
        <v>41</v>
      </c>
      <c r="D124" s="1" t="s">
        <v>73</v>
      </c>
      <c r="E124" s="1"/>
      <c r="F124" s="1"/>
      <c r="G124" s="1"/>
      <c r="H124" s="1">
        <v>3</v>
      </c>
      <c r="I124" s="1">
        <v>2815</v>
      </c>
      <c r="J124" s="1">
        <v>24.757999999999999</v>
      </c>
      <c r="K124" s="1">
        <v>1077</v>
      </c>
      <c r="L124" s="1">
        <v>8.9999999999999993E-3</v>
      </c>
      <c r="M124" s="1">
        <v>3.8699999999999997E-4</v>
      </c>
      <c r="N124" s="1">
        <v>242.33099999999999</v>
      </c>
    </row>
    <row r="125" spans="1:14">
      <c r="A125" s="1" t="s">
        <v>70</v>
      </c>
      <c r="B125" s="1" t="s">
        <v>74</v>
      </c>
      <c r="C125" s="1">
        <v>42</v>
      </c>
      <c r="D125" s="1" t="s">
        <v>73</v>
      </c>
      <c r="E125" s="1"/>
      <c r="F125" s="1"/>
      <c r="G125" s="1"/>
      <c r="H125" s="1">
        <v>1</v>
      </c>
      <c r="I125" s="1">
        <v>2642</v>
      </c>
      <c r="J125" s="1">
        <v>47.710999999999999</v>
      </c>
      <c r="K125" s="1">
        <v>818</v>
      </c>
      <c r="L125" s="1">
        <v>1.4E-2</v>
      </c>
      <c r="M125" s="1">
        <v>3.1189999999999999E-4</v>
      </c>
      <c r="N125" s="1">
        <v>1.4359999999999999</v>
      </c>
    </row>
    <row r="126" spans="1:14">
      <c r="A126" s="1" t="s">
        <v>70</v>
      </c>
      <c r="B126" s="1" t="s">
        <v>74</v>
      </c>
      <c r="C126" s="1">
        <v>42</v>
      </c>
      <c r="D126" s="1" t="s">
        <v>73</v>
      </c>
      <c r="E126" s="1"/>
      <c r="F126" s="1"/>
      <c r="G126" s="1"/>
      <c r="H126" s="1">
        <v>2</v>
      </c>
      <c r="I126" s="1">
        <v>2640</v>
      </c>
      <c r="J126" s="1">
        <v>48.82</v>
      </c>
      <c r="K126" s="1">
        <v>816</v>
      </c>
      <c r="L126" s="1">
        <v>1.4E-2</v>
      </c>
      <c r="M126" s="1">
        <v>3.1149999999999998E-4</v>
      </c>
      <c r="N126" s="1">
        <v>0</v>
      </c>
    </row>
    <row r="127" spans="1:14">
      <c r="A127" s="1" t="s">
        <v>70</v>
      </c>
      <c r="B127" s="1" t="s">
        <v>74</v>
      </c>
      <c r="C127" s="1">
        <v>42</v>
      </c>
      <c r="D127" s="1" t="s">
        <v>73</v>
      </c>
      <c r="E127" s="1"/>
      <c r="F127" s="1"/>
      <c r="G127" s="1"/>
      <c r="H127" s="1">
        <v>3</v>
      </c>
      <c r="I127" s="1">
        <v>2846</v>
      </c>
      <c r="J127" s="1">
        <v>24.952000000000002</v>
      </c>
      <c r="K127" s="1">
        <v>1090</v>
      </c>
      <c r="L127" s="1">
        <v>8.9999999999999993E-3</v>
      </c>
      <c r="M127" s="1">
        <v>3.8739999999999998E-4</v>
      </c>
      <c r="N127" s="1">
        <v>243.52</v>
      </c>
    </row>
    <row r="128" spans="1:14">
      <c r="A128" s="1" t="s">
        <v>70</v>
      </c>
      <c r="B128" s="1" t="s">
        <v>75</v>
      </c>
      <c r="C128" s="1">
        <v>43</v>
      </c>
      <c r="D128" s="1" t="s">
        <v>76</v>
      </c>
      <c r="E128" s="1"/>
      <c r="F128" s="1"/>
      <c r="G128" s="1"/>
      <c r="H128" s="1">
        <v>1</v>
      </c>
      <c r="I128" s="1">
        <v>2639</v>
      </c>
      <c r="J128" s="1">
        <v>47.704999999999998</v>
      </c>
      <c r="K128" s="1">
        <v>816</v>
      </c>
      <c r="L128" s="1">
        <v>1.4E-2</v>
      </c>
      <c r="M128" s="1">
        <v>3.1169999999999999E-4</v>
      </c>
      <c r="N128" s="1">
        <v>0.78900000000000003</v>
      </c>
    </row>
    <row r="129" spans="1:14">
      <c r="A129" s="1" t="s">
        <v>70</v>
      </c>
      <c r="B129" s="1" t="s">
        <v>75</v>
      </c>
      <c r="C129" s="1">
        <v>43</v>
      </c>
      <c r="D129" s="1" t="s">
        <v>76</v>
      </c>
      <c r="E129" s="1"/>
      <c r="F129" s="1"/>
      <c r="G129" s="1"/>
      <c r="H129" s="1">
        <v>2</v>
      </c>
      <c r="I129" s="1">
        <v>2639</v>
      </c>
      <c r="J129" s="1">
        <v>48.814</v>
      </c>
      <c r="K129" s="1">
        <v>816</v>
      </c>
      <c r="L129" s="1">
        <v>1.4E-2</v>
      </c>
      <c r="M129" s="1">
        <v>3.1149999999999998E-4</v>
      </c>
      <c r="N129" s="1">
        <v>0</v>
      </c>
    </row>
    <row r="130" spans="1:14">
      <c r="A130" s="1" t="s">
        <v>70</v>
      </c>
      <c r="B130" s="1" t="s">
        <v>75</v>
      </c>
      <c r="C130" s="1">
        <v>43</v>
      </c>
      <c r="D130" s="1" t="s">
        <v>76</v>
      </c>
      <c r="E130" s="1"/>
      <c r="F130" s="1"/>
      <c r="G130" s="1"/>
      <c r="H130" s="1">
        <v>3</v>
      </c>
      <c r="I130" s="1">
        <v>2854</v>
      </c>
      <c r="J130" s="1">
        <v>25.3</v>
      </c>
      <c r="K130" s="1">
        <v>1072</v>
      </c>
      <c r="L130" s="1">
        <v>8.9999999999999993E-3</v>
      </c>
      <c r="M130" s="1">
        <v>3.792E-4</v>
      </c>
      <c r="N130" s="1">
        <v>217.39</v>
      </c>
    </row>
    <row r="131" spans="1:14">
      <c r="A131" s="1" t="s">
        <v>70</v>
      </c>
      <c r="B131" s="1" t="s">
        <v>77</v>
      </c>
      <c r="C131" s="1">
        <v>44</v>
      </c>
      <c r="D131" s="1" t="s">
        <v>76</v>
      </c>
      <c r="E131" s="1"/>
      <c r="F131" s="1"/>
      <c r="G131" s="1"/>
      <c r="H131" s="1">
        <v>1</v>
      </c>
      <c r="I131" s="1">
        <v>2641</v>
      </c>
      <c r="J131" s="1">
        <v>47.637999999999998</v>
      </c>
      <c r="K131" s="1">
        <v>817</v>
      </c>
      <c r="L131" s="1">
        <v>1.4E-2</v>
      </c>
      <c r="M131" s="1">
        <v>3.1129999999999998E-4</v>
      </c>
      <c r="N131" s="1">
        <v>-0.58599999999999997</v>
      </c>
    </row>
    <row r="132" spans="1:14">
      <c r="A132" s="1" t="s">
        <v>70</v>
      </c>
      <c r="B132" s="1" t="s">
        <v>77</v>
      </c>
      <c r="C132" s="1">
        <v>44</v>
      </c>
      <c r="D132" s="1" t="s">
        <v>76</v>
      </c>
      <c r="E132" s="1"/>
      <c r="F132" s="1"/>
      <c r="G132" s="1"/>
      <c r="H132" s="1">
        <v>2</v>
      </c>
      <c r="I132" s="1">
        <v>2638</v>
      </c>
      <c r="J132" s="1">
        <v>48.838000000000001</v>
      </c>
      <c r="K132" s="1">
        <v>816</v>
      </c>
      <c r="L132" s="1">
        <v>1.4E-2</v>
      </c>
      <c r="M132" s="1">
        <v>3.1149999999999998E-4</v>
      </c>
      <c r="N132" s="1">
        <v>0</v>
      </c>
    </row>
    <row r="133" spans="1:14">
      <c r="A133" s="1" t="s">
        <v>70</v>
      </c>
      <c r="B133" s="1" t="s">
        <v>77</v>
      </c>
      <c r="C133" s="1">
        <v>44</v>
      </c>
      <c r="D133" s="1" t="s">
        <v>76</v>
      </c>
      <c r="E133" s="1"/>
      <c r="F133" s="1"/>
      <c r="G133" s="1"/>
      <c r="H133" s="1">
        <v>3</v>
      </c>
      <c r="I133" s="1">
        <v>2823</v>
      </c>
      <c r="J133" s="1">
        <v>24.93</v>
      </c>
      <c r="K133" s="1">
        <v>1057</v>
      </c>
      <c r="L133" s="1">
        <v>8.9999999999999993E-3</v>
      </c>
      <c r="M133" s="1">
        <v>3.7770000000000002E-4</v>
      </c>
      <c r="N133" s="1">
        <v>212.61600000000001</v>
      </c>
    </row>
    <row r="134" spans="1:14">
      <c r="A134" s="1" t="s">
        <v>70</v>
      </c>
      <c r="B134" s="1" t="s">
        <v>78</v>
      </c>
      <c r="C134" s="1">
        <v>45</v>
      </c>
      <c r="D134" s="1" t="s">
        <v>79</v>
      </c>
      <c r="E134" s="1"/>
      <c r="F134" s="1"/>
      <c r="G134" s="1"/>
      <c r="H134" s="1">
        <v>1</v>
      </c>
      <c r="I134" s="1">
        <v>2642</v>
      </c>
      <c r="J134" s="1">
        <v>47.841000000000001</v>
      </c>
      <c r="K134" s="1">
        <v>818</v>
      </c>
      <c r="L134" s="1">
        <v>1.4E-2</v>
      </c>
      <c r="M134" s="1">
        <v>3.1189999999999999E-4</v>
      </c>
      <c r="N134" s="1">
        <v>1.131</v>
      </c>
    </row>
    <row r="135" spans="1:14">
      <c r="A135" s="1" t="s">
        <v>70</v>
      </c>
      <c r="B135" s="1" t="s">
        <v>78</v>
      </c>
      <c r="C135" s="1">
        <v>45</v>
      </c>
      <c r="D135" s="1" t="s">
        <v>79</v>
      </c>
      <c r="E135" s="1"/>
      <c r="F135" s="1"/>
      <c r="G135" s="1"/>
      <c r="H135" s="1">
        <v>2</v>
      </c>
      <c r="I135" s="1">
        <v>2640</v>
      </c>
      <c r="J135" s="1">
        <v>48.838999999999999</v>
      </c>
      <c r="K135" s="1">
        <v>817</v>
      </c>
      <c r="L135" s="1">
        <v>1.4E-2</v>
      </c>
      <c r="M135" s="1">
        <v>3.1149999999999998E-4</v>
      </c>
      <c r="N135" s="1">
        <v>0</v>
      </c>
    </row>
    <row r="136" spans="1:14">
      <c r="A136" s="1" t="s">
        <v>70</v>
      </c>
      <c r="B136" s="1" t="s">
        <v>78</v>
      </c>
      <c r="C136" s="1">
        <v>45</v>
      </c>
      <c r="D136" s="1" t="s">
        <v>79</v>
      </c>
      <c r="E136" s="1"/>
      <c r="F136" s="1"/>
      <c r="G136" s="1"/>
      <c r="H136" s="1">
        <v>3</v>
      </c>
      <c r="I136" s="1">
        <v>2741</v>
      </c>
      <c r="J136" s="1">
        <v>24.117999999999999</v>
      </c>
      <c r="K136" s="1">
        <v>1045</v>
      </c>
      <c r="L136" s="1">
        <v>8.9999999999999993E-3</v>
      </c>
      <c r="M136" s="1">
        <v>3.86E-4</v>
      </c>
      <c r="N136" s="1">
        <v>239.2</v>
      </c>
    </row>
    <row r="137" spans="1:14">
      <c r="A137" s="1" t="s">
        <v>70</v>
      </c>
      <c r="B137" s="1" t="s">
        <v>80</v>
      </c>
      <c r="C137" s="1">
        <v>46</v>
      </c>
      <c r="D137" s="1" t="s">
        <v>79</v>
      </c>
      <c r="E137" s="1"/>
      <c r="F137" s="1"/>
      <c r="G137" s="1"/>
      <c r="H137" s="1">
        <v>1</v>
      </c>
      <c r="I137" s="1">
        <v>2637</v>
      </c>
      <c r="J137" s="1">
        <v>47.584000000000003</v>
      </c>
      <c r="K137" s="1">
        <v>815</v>
      </c>
      <c r="L137" s="1">
        <v>1.4E-2</v>
      </c>
      <c r="M137" s="1">
        <v>3.1090000000000002E-4</v>
      </c>
      <c r="N137" s="1">
        <v>-1.877</v>
      </c>
    </row>
    <row r="138" spans="1:14">
      <c r="A138" s="1" t="s">
        <v>70</v>
      </c>
      <c r="B138" s="1" t="s">
        <v>80</v>
      </c>
      <c r="C138" s="1">
        <v>46</v>
      </c>
      <c r="D138" s="1" t="s">
        <v>79</v>
      </c>
      <c r="E138" s="1"/>
      <c r="F138" s="1"/>
      <c r="G138" s="1"/>
      <c r="H138" s="1">
        <v>2</v>
      </c>
      <c r="I138" s="1">
        <v>2639</v>
      </c>
      <c r="J138" s="1">
        <v>48.820999999999998</v>
      </c>
      <c r="K138" s="1">
        <v>817</v>
      </c>
      <c r="L138" s="1">
        <v>1.4E-2</v>
      </c>
      <c r="M138" s="1">
        <v>3.1149999999999998E-4</v>
      </c>
      <c r="N138" s="1">
        <v>0</v>
      </c>
    </row>
    <row r="139" spans="1:14">
      <c r="A139" s="1" t="s">
        <v>70</v>
      </c>
      <c r="B139" s="1" t="s">
        <v>80</v>
      </c>
      <c r="C139" s="1">
        <v>46</v>
      </c>
      <c r="D139" s="1" t="s">
        <v>79</v>
      </c>
      <c r="E139" s="1"/>
      <c r="F139" s="1"/>
      <c r="G139" s="1"/>
      <c r="H139" s="1">
        <v>3</v>
      </c>
      <c r="I139" s="1">
        <v>2812</v>
      </c>
      <c r="J139" s="1">
        <v>24.917000000000002</v>
      </c>
      <c r="K139" s="1">
        <v>1074</v>
      </c>
      <c r="L139" s="1">
        <v>8.9999999999999993E-3</v>
      </c>
      <c r="M139" s="1">
        <v>3.8559999999999999E-4</v>
      </c>
      <c r="N139" s="1">
        <v>237.869</v>
      </c>
    </row>
    <row r="140" spans="1:14">
      <c r="A140" s="1" t="s">
        <v>70</v>
      </c>
      <c r="B140" s="1" t="s">
        <v>81</v>
      </c>
      <c r="C140" s="1">
        <v>47</v>
      </c>
      <c r="D140" s="1" t="s">
        <v>20</v>
      </c>
      <c r="E140" s="1"/>
      <c r="F140" s="1"/>
      <c r="G140" s="1"/>
      <c r="H140" s="1">
        <v>1</v>
      </c>
      <c r="I140" s="1">
        <v>2638</v>
      </c>
      <c r="J140" s="1">
        <v>47.676000000000002</v>
      </c>
      <c r="K140" s="1">
        <v>816</v>
      </c>
      <c r="L140" s="1">
        <v>1.4E-2</v>
      </c>
      <c r="M140" s="1">
        <v>3.1159999999999998E-4</v>
      </c>
      <c r="N140" s="1">
        <v>0.39800000000000002</v>
      </c>
    </row>
    <row r="141" spans="1:14">
      <c r="A141" s="1" t="s">
        <v>70</v>
      </c>
      <c r="B141" s="1" t="s">
        <v>81</v>
      </c>
      <c r="C141" s="1">
        <v>47</v>
      </c>
      <c r="D141" s="1" t="s">
        <v>20</v>
      </c>
      <c r="E141" s="1"/>
      <c r="F141" s="1"/>
      <c r="G141" s="1"/>
      <c r="H141" s="1">
        <v>2</v>
      </c>
      <c r="I141" s="1">
        <v>2637</v>
      </c>
      <c r="J141" s="1">
        <v>48.750999999999998</v>
      </c>
      <c r="K141" s="1">
        <v>816</v>
      </c>
      <c r="L141" s="1">
        <v>1.4E-2</v>
      </c>
      <c r="M141" s="1">
        <v>3.1149999999999998E-4</v>
      </c>
      <c r="N141" s="1">
        <v>0</v>
      </c>
    </row>
    <row r="142" spans="1:14">
      <c r="A142" s="1" t="s">
        <v>70</v>
      </c>
      <c r="B142" s="1" t="s">
        <v>81</v>
      </c>
      <c r="C142" s="1">
        <v>47</v>
      </c>
      <c r="D142" s="1" t="s">
        <v>20</v>
      </c>
      <c r="E142" s="1"/>
      <c r="F142" s="1"/>
      <c r="G142" s="1"/>
      <c r="H142" s="1">
        <v>3</v>
      </c>
      <c r="I142" s="1">
        <v>2808</v>
      </c>
      <c r="J142" s="1">
        <v>24.766999999999999</v>
      </c>
      <c r="K142" s="1">
        <v>1048</v>
      </c>
      <c r="L142" s="1">
        <v>8.9999999999999993E-3</v>
      </c>
      <c r="M142" s="1">
        <v>3.7659999999999999E-4</v>
      </c>
      <c r="N142" s="1">
        <v>208.91499999999999</v>
      </c>
    </row>
    <row r="143" spans="1:14">
      <c r="A143" s="1" t="s">
        <v>70</v>
      </c>
      <c r="B143" s="1" t="s">
        <v>82</v>
      </c>
      <c r="C143" s="1">
        <v>48</v>
      </c>
      <c r="D143" s="1" t="s">
        <v>20</v>
      </c>
      <c r="E143" s="1"/>
      <c r="F143" s="1"/>
      <c r="G143" s="1"/>
      <c r="H143" s="1">
        <v>1</v>
      </c>
      <c r="I143" s="1">
        <v>2646</v>
      </c>
      <c r="J143" s="1">
        <v>47.835999999999999</v>
      </c>
      <c r="K143" s="1">
        <v>818</v>
      </c>
      <c r="L143" s="1">
        <v>1.4E-2</v>
      </c>
      <c r="M143" s="1">
        <v>3.1139999999999998E-4</v>
      </c>
      <c r="N143" s="1">
        <v>-0.245</v>
      </c>
    </row>
    <row r="144" spans="1:14">
      <c r="A144" s="1" t="s">
        <v>70</v>
      </c>
      <c r="B144" s="1" t="s">
        <v>82</v>
      </c>
      <c r="C144" s="1">
        <v>48</v>
      </c>
      <c r="D144" s="1" t="s">
        <v>20</v>
      </c>
      <c r="E144" s="1"/>
      <c r="F144" s="1"/>
      <c r="G144" s="1"/>
      <c r="H144" s="1">
        <v>2</v>
      </c>
      <c r="I144" s="1">
        <v>2645</v>
      </c>
      <c r="J144" s="1">
        <v>48.947000000000003</v>
      </c>
      <c r="K144" s="1">
        <v>819</v>
      </c>
      <c r="L144" s="1">
        <v>1.4E-2</v>
      </c>
      <c r="M144" s="1">
        <v>3.1149999999999998E-4</v>
      </c>
      <c r="N144" s="1">
        <v>0</v>
      </c>
    </row>
    <row r="145" spans="1:14">
      <c r="A145" s="1" t="s">
        <v>70</v>
      </c>
      <c r="B145" s="1" t="s">
        <v>82</v>
      </c>
      <c r="C145" s="1">
        <v>48</v>
      </c>
      <c r="D145" s="1" t="s">
        <v>20</v>
      </c>
      <c r="E145" s="1"/>
      <c r="F145" s="1"/>
      <c r="G145" s="1"/>
      <c r="H145" s="1">
        <v>3</v>
      </c>
      <c r="I145" s="1">
        <v>2791</v>
      </c>
      <c r="J145" s="1">
        <v>24.960999999999999</v>
      </c>
      <c r="K145" s="1">
        <v>1040</v>
      </c>
      <c r="L145" s="1">
        <v>8.9999999999999993E-3</v>
      </c>
      <c r="M145" s="1">
        <v>3.7589999999999998E-4</v>
      </c>
      <c r="N145" s="1">
        <v>206.69800000000001</v>
      </c>
    </row>
    <row r="146" spans="1:14">
      <c r="A146" s="1" t="s">
        <v>70</v>
      </c>
      <c r="B146" s="1" t="s">
        <v>83</v>
      </c>
      <c r="C146" s="1">
        <v>49</v>
      </c>
      <c r="D146" s="1" t="s">
        <v>84</v>
      </c>
      <c r="E146" s="1"/>
      <c r="F146" s="1"/>
      <c r="G146" s="1"/>
      <c r="H146" s="1">
        <v>1</v>
      </c>
      <c r="I146" s="1">
        <v>2636</v>
      </c>
      <c r="J146" s="1">
        <v>47.633000000000003</v>
      </c>
      <c r="K146" s="1">
        <v>815</v>
      </c>
      <c r="L146" s="1">
        <v>1.4E-2</v>
      </c>
      <c r="M146" s="1">
        <v>3.1149999999999998E-4</v>
      </c>
      <c r="N146" s="1">
        <v>7.3999999999999996E-2</v>
      </c>
    </row>
    <row r="147" spans="1:14">
      <c r="A147" s="1" t="s">
        <v>70</v>
      </c>
      <c r="B147" s="1" t="s">
        <v>83</v>
      </c>
      <c r="C147" s="1">
        <v>49</v>
      </c>
      <c r="D147" s="1" t="s">
        <v>84</v>
      </c>
      <c r="E147" s="1"/>
      <c r="F147" s="1"/>
      <c r="G147" s="1"/>
      <c r="H147" s="1">
        <v>2</v>
      </c>
      <c r="I147" s="1">
        <v>2635</v>
      </c>
      <c r="J147" s="1">
        <v>48.715000000000003</v>
      </c>
      <c r="K147" s="1">
        <v>815</v>
      </c>
      <c r="L147" s="1">
        <v>1.4E-2</v>
      </c>
      <c r="M147" s="1">
        <v>3.1149999999999998E-4</v>
      </c>
      <c r="N147" s="1">
        <v>0</v>
      </c>
    </row>
    <row r="148" spans="1:14">
      <c r="A148" s="1" t="s">
        <v>70</v>
      </c>
      <c r="B148" s="1" t="s">
        <v>83</v>
      </c>
      <c r="C148" s="1">
        <v>49</v>
      </c>
      <c r="D148" s="1" t="s">
        <v>84</v>
      </c>
      <c r="E148" s="1"/>
      <c r="F148" s="1"/>
      <c r="G148" s="1"/>
      <c r="H148" s="1">
        <v>3</v>
      </c>
      <c r="I148" s="1">
        <v>2817</v>
      </c>
      <c r="J148" s="1">
        <v>24.797999999999998</v>
      </c>
      <c r="K148" s="1">
        <v>974</v>
      </c>
      <c r="L148" s="1">
        <v>8.0000000000000002E-3</v>
      </c>
      <c r="M148" s="1">
        <v>3.4709999999999998E-4</v>
      </c>
      <c r="N148" s="1">
        <v>114.27800000000001</v>
      </c>
    </row>
    <row r="149" spans="1:14">
      <c r="A149" s="1" t="s">
        <v>70</v>
      </c>
      <c r="B149" s="1" t="s">
        <v>85</v>
      </c>
      <c r="C149" s="1">
        <v>50</v>
      </c>
      <c r="D149" s="1" t="s">
        <v>84</v>
      </c>
      <c r="E149" s="1"/>
      <c r="F149" s="1"/>
      <c r="G149" s="1"/>
      <c r="H149" s="1">
        <v>1</v>
      </c>
      <c r="I149" s="1">
        <v>2639</v>
      </c>
      <c r="J149" s="1">
        <v>47.801000000000002</v>
      </c>
      <c r="K149" s="1">
        <v>817</v>
      </c>
      <c r="L149" s="1">
        <v>1.4E-2</v>
      </c>
      <c r="M149" s="1">
        <v>3.1139999999999998E-4</v>
      </c>
      <c r="N149" s="1">
        <v>-0.24</v>
      </c>
    </row>
    <row r="150" spans="1:14">
      <c r="A150" s="1" t="s">
        <v>70</v>
      </c>
      <c r="B150" s="1" t="s">
        <v>85</v>
      </c>
      <c r="C150" s="1">
        <v>50</v>
      </c>
      <c r="D150" s="1" t="s">
        <v>84</v>
      </c>
      <c r="E150" s="1"/>
      <c r="F150" s="1"/>
      <c r="G150" s="1"/>
      <c r="H150" s="1">
        <v>2</v>
      </c>
      <c r="I150" s="1">
        <v>2637</v>
      </c>
      <c r="J150" s="1">
        <v>48.698999999999998</v>
      </c>
      <c r="K150" s="1">
        <v>816</v>
      </c>
      <c r="L150" s="1">
        <v>1.4E-2</v>
      </c>
      <c r="M150" s="1">
        <v>3.1149999999999998E-4</v>
      </c>
      <c r="N150" s="1">
        <v>0</v>
      </c>
    </row>
    <row r="151" spans="1:14">
      <c r="A151" s="1" t="s">
        <v>70</v>
      </c>
      <c r="B151" s="1" t="s">
        <v>85</v>
      </c>
      <c r="C151" s="1">
        <v>50</v>
      </c>
      <c r="D151" s="1" t="s">
        <v>84</v>
      </c>
      <c r="E151" s="1"/>
      <c r="F151" s="1"/>
      <c r="G151" s="1"/>
      <c r="H151" s="1">
        <v>3</v>
      </c>
      <c r="I151" s="1">
        <v>2765</v>
      </c>
      <c r="J151" s="1">
        <v>24.402000000000001</v>
      </c>
      <c r="K151" s="1">
        <v>953</v>
      </c>
      <c r="L151" s="1">
        <v>8.0000000000000002E-3</v>
      </c>
      <c r="M151" s="1">
        <v>3.4660000000000002E-4</v>
      </c>
      <c r="N151" s="1">
        <v>112.619</v>
      </c>
    </row>
    <row r="152" spans="1:14">
      <c r="A152" s="1" t="s">
        <v>70</v>
      </c>
      <c r="B152" s="1" t="s">
        <v>86</v>
      </c>
      <c r="C152" s="1">
        <v>51</v>
      </c>
      <c r="D152" s="1" t="s">
        <v>87</v>
      </c>
      <c r="E152" s="1"/>
      <c r="F152" s="1"/>
      <c r="G152" s="1"/>
      <c r="H152" s="1">
        <v>1</v>
      </c>
      <c r="I152" s="1">
        <v>2637</v>
      </c>
      <c r="J152" s="1">
        <v>47.597000000000001</v>
      </c>
      <c r="K152" s="1">
        <v>816</v>
      </c>
      <c r="L152" s="1">
        <v>1.4E-2</v>
      </c>
      <c r="M152" s="1">
        <v>3.1169999999999999E-4</v>
      </c>
      <c r="N152" s="1">
        <v>0.59299999999999997</v>
      </c>
    </row>
    <row r="153" spans="1:14">
      <c r="A153" s="1" t="s">
        <v>70</v>
      </c>
      <c r="B153" s="1" t="s">
        <v>86</v>
      </c>
      <c r="C153" s="1">
        <v>51</v>
      </c>
      <c r="D153" s="1" t="s">
        <v>87</v>
      </c>
      <c r="E153" s="1"/>
      <c r="F153" s="1"/>
      <c r="G153" s="1"/>
      <c r="H153" s="1">
        <v>2</v>
      </c>
      <c r="I153" s="1">
        <v>2644</v>
      </c>
      <c r="J153" s="1">
        <v>48.906999999999996</v>
      </c>
      <c r="K153" s="1">
        <v>818</v>
      </c>
      <c r="L153" s="1">
        <v>1.4E-2</v>
      </c>
      <c r="M153" s="1">
        <v>3.1149999999999998E-4</v>
      </c>
      <c r="N153" s="1">
        <v>0</v>
      </c>
    </row>
    <row r="154" spans="1:14">
      <c r="A154" s="1" t="s">
        <v>70</v>
      </c>
      <c r="B154" s="1" t="s">
        <v>86</v>
      </c>
      <c r="C154" s="1">
        <v>51</v>
      </c>
      <c r="D154" s="1" t="s">
        <v>87</v>
      </c>
      <c r="E154" s="1"/>
      <c r="F154" s="1"/>
      <c r="G154" s="1"/>
      <c r="H154" s="1">
        <v>3</v>
      </c>
      <c r="I154" s="1">
        <v>2764</v>
      </c>
      <c r="J154" s="1">
        <v>24.398</v>
      </c>
      <c r="K154" s="1">
        <v>1060</v>
      </c>
      <c r="L154" s="1">
        <v>8.9999999999999993E-3</v>
      </c>
      <c r="M154" s="1">
        <v>3.8830000000000001E-4</v>
      </c>
      <c r="N154" s="1">
        <v>246.45599999999999</v>
      </c>
    </row>
    <row r="155" spans="1:14">
      <c r="A155" s="1" t="s">
        <v>70</v>
      </c>
      <c r="B155" s="1" t="s">
        <v>88</v>
      </c>
      <c r="C155" s="1">
        <v>52</v>
      </c>
      <c r="D155" s="1" t="s">
        <v>87</v>
      </c>
      <c r="E155" s="1"/>
      <c r="F155" s="1"/>
      <c r="G155" s="1"/>
      <c r="H155" s="1">
        <v>1</v>
      </c>
      <c r="I155" s="1">
        <v>2635</v>
      </c>
      <c r="J155" s="1">
        <v>47.704000000000001</v>
      </c>
      <c r="K155" s="1">
        <v>815</v>
      </c>
      <c r="L155" s="1">
        <v>1.4E-2</v>
      </c>
      <c r="M155" s="1">
        <v>3.1119999999999997E-4</v>
      </c>
      <c r="N155" s="1">
        <v>-0.91600000000000004</v>
      </c>
    </row>
    <row r="156" spans="1:14">
      <c r="A156" s="1" t="s">
        <v>70</v>
      </c>
      <c r="B156" s="1" t="s">
        <v>88</v>
      </c>
      <c r="C156" s="1">
        <v>52</v>
      </c>
      <c r="D156" s="1" t="s">
        <v>87</v>
      </c>
      <c r="E156" s="1"/>
      <c r="F156" s="1"/>
      <c r="G156" s="1"/>
      <c r="H156" s="1">
        <v>2</v>
      </c>
      <c r="I156" s="1">
        <v>2634</v>
      </c>
      <c r="J156" s="1">
        <v>48.735999999999997</v>
      </c>
      <c r="K156" s="1">
        <v>815</v>
      </c>
      <c r="L156" s="1">
        <v>1.4E-2</v>
      </c>
      <c r="M156" s="1">
        <v>3.1149999999999998E-4</v>
      </c>
      <c r="N156" s="1">
        <v>0</v>
      </c>
    </row>
    <row r="157" spans="1:14">
      <c r="A157" s="1" t="s">
        <v>70</v>
      </c>
      <c r="B157" s="1" t="s">
        <v>88</v>
      </c>
      <c r="C157" s="1">
        <v>52</v>
      </c>
      <c r="D157" s="1" t="s">
        <v>87</v>
      </c>
      <c r="E157" s="1"/>
      <c r="F157" s="1"/>
      <c r="G157" s="1"/>
      <c r="H157" s="1">
        <v>3</v>
      </c>
      <c r="I157" s="1">
        <v>2789</v>
      </c>
      <c r="J157" s="1">
        <v>24.523</v>
      </c>
      <c r="K157" s="1">
        <v>1073</v>
      </c>
      <c r="L157" s="1">
        <v>8.9999999999999993E-3</v>
      </c>
      <c r="M157" s="1">
        <v>3.8850000000000001E-4</v>
      </c>
      <c r="N157" s="1">
        <v>247.166</v>
      </c>
    </row>
    <row r="158" spans="1:14">
      <c r="A158" s="1" t="s">
        <v>70</v>
      </c>
      <c r="B158" s="1" t="s">
        <v>89</v>
      </c>
      <c r="C158" s="1">
        <v>53</v>
      </c>
      <c r="D158" s="1" t="s">
        <v>90</v>
      </c>
      <c r="E158" s="1"/>
      <c r="F158" s="1"/>
      <c r="G158" s="1"/>
      <c r="H158" s="1">
        <v>1</v>
      </c>
      <c r="I158" s="1">
        <v>2642</v>
      </c>
      <c r="J158" s="1">
        <v>47.652000000000001</v>
      </c>
      <c r="K158" s="1">
        <v>817</v>
      </c>
      <c r="L158" s="1">
        <v>1.4E-2</v>
      </c>
      <c r="M158" s="1">
        <v>3.1159999999999998E-4</v>
      </c>
      <c r="N158" s="1">
        <v>0.22</v>
      </c>
    </row>
    <row r="159" spans="1:14">
      <c r="A159" s="1" t="s">
        <v>70</v>
      </c>
      <c r="B159" s="1" t="s">
        <v>89</v>
      </c>
      <c r="C159" s="1">
        <v>53</v>
      </c>
      <c r="D159" s="1" t="s">
        <v>90</v>
      </c>
      <c r="E159" s="1"/>
      <c r="F159" s="1"/>
      <c r="G159" s="1"/>
      <c r="H159" s="1">
        <v>2</v>
      </c>
      <c r="I159" s="1">
        <v>2642</v>
      </c>
      <c r="J159" s="1">
        <v>48.920999999999999</v>
      </c>
      <c r="K159" s="1">
        <v>817</v>
      </c>
      <c r="L159" s="1">
        <v>1.4E-2</v>
      </c>
      <c r="M159" s="1">
        <v>3.1149999999999998E-4</v>
      </c>
      <c r="N159" s="1">
        <v>0</v>
      </c>
    </row>
    <row r="160" spans="1:14">
      <c r="A160" s="1" t="s">
        <v>70</v>
      </c>
      <c r="B160" s="1" t="s">
        <v>89</v>
      </c>
      <c r="C160" s="1">
        <v>53</v>
      </c>
      <c r="D160" s="1" t="s">
        <v>90</v>
      </c>
      <c r="E160" s="1"/>
      <c r="F160" s="1"/>
      <c r="G160" s="1"/>
      <c r="H160" s="1">
        <v>3</v>
      </c>
      <c r="I160" s="1">
        <v>2772</v>
      </c>
      <c r="J160" s="1">
        <v>24.547999999999998</v>
      </c>
      <c r="K160" s="1">
        <v>1053</v>
      </c>
      <c r="L160" s="1">
        <v>8.9999999999999993E-3</v>
      </c>
      <c r="M160" s="1">
        <v>3.8460000000000002E-4</v>
      </c>
      <c r="N160" s="1">
        <v>234.81299999999999</v>
      </c>
    </row>
    <row r="161" spans="1:14">
      <c r="A161" s="1" t="s">
        <v>70</v>
      </c>
      <c r="B161" s="1" t="s">
        <v>91</v>
      </c>
      <c r="C161" s="1">
        <v>54</v>
      </c>
      <c r="D161" s="1" t="s">
        <v>90</v>
      </c>
      <c r="E161" s="1"/>
      <c r="F161" s="1"/>
      <c r="G161" s="1"/>
      <c r="H161" s="1">
        <v>1</v>
      </c>
      <c r="I161" s="1">
        <v>2635</v>
      </c>
      <c r="J161" s="1">
        <v>47.634999999999998</v>
      </c>
      <c r="K161" s="1">
        <v>815</v>
      </c>
      <c r="L161" s="1">
        <v>1.4E-2</v>
      </c>
      <c r="M161" s="1">
        <v>3.1159999999999998E-4</v>
      </c>
      <c r="N161" s="1">
        <v>0.29799999999999999</v>
      </c>
    </row>
    <row r="162" spans="1:14">
      <c r="A162" s="1" t="s">
        <v>70</v>
      </c>
      <c r="B162" s="1" t="s">
        <v>91</v>
      </c>
      <c r="C162" s="1">
        <v>54</v>
      </c>
      <c r="D162" s="1" t="s">
        <v>90</v>
      </c>
      <c r="E162" s="1"/>
      <c r="F162" s="1"/>
      <c r="G162" s="1"/>
      <c r="H162" s="1">
        <v>2</v>
      </c>
      <c r="I162" s="1">
        <v>2635</v>
      </c>
      <c r="J162" s="1">
        <v>48.811</v>
      </c>
      <c r="K162" s="1">
        <v>814</v>
      </c>
      <c r="L162" s="1">
        <v>1.4E-2</v>
      </c>
      <c r="M162" s="1">
        <v>3.1149999999999998E-4</v>
      </c>
      <c r="N162" s="1">
        <v>0</v>
      </c>
    </row>
    <row r="163" spans="1:14">
      <c r="A163" s="1" t="s">
        <v>70</v>
      </c>
      <c r="B163" s="1" t="s">
        <v>91</v>
      </c>
      <c r="C163" s="1">
        <v>54</v>
      </c>
      <c r="D163" s="1" t="s">
        <v>90</v>
      </c>
      <c r="E163" s="1"/>
      <c r="F163" s="1"/>
      <c r="G163" s="1"/>
      <c r="H163" s="1">
        <v>3</v>
      </c>
      <c r="I163" s="1">
        <v>2788</v>
      </c>
      <c r="J163" s="1">
        <v>24.483000000000001</v>
      </c>
      <c r="K163" s="1">
        <v>1059</v>
      </c>
      <c r="L163" s="1">
        <v>8.9999999999999993E-3</v>
      </c>
      <c r="M163" s="1">
        <v>3.8450000000000002E-4</v>
      </c>
      <c r="N163" s="1">
        <v>234.30699999999999</v>
      </c>
    </row>
    <row r="164" spans="1:14">
      <c r="A164" s="1" t="s">
        <v>70</v>
      </c>
      <c r="B164" s="1" t="s">
        <v>92</v>
      </c>
      <c r="C164" s="1">
        <v>55</v>
      </c>
      <c r="D164" s="1" t="s">
        <v>93</v>
      </c>
      <c r="E164" s="1"/>
      <c r="F164" s="1"/>
      <c r="G164" s="1"/>
      <c r="H164" s="1">
        <v>1</v>
      </c>
      <c r="I164" s="1">
        <v>2636</v>
      </c>
      <c r="J164" s="1">
        <v>47.585000000000001</v>
      </c>
      <c r="K164" s="1">
        <v>816</v>
      </c>
      <c r="L164" s="1">
        <v>1.4E-2</v>
      </c>
      <c r="M164" s="1">
        <v>3.1139999999999998E-4</v>
      </c>
      <c r="N164" s="1">
        <v>-0.46500000000000002</v>
      </c>
    </row>
    <row r="165" spans="1:14">
      <c r="A165" s="1" t="s">
        <v>70</v>
      </c>
      <c r="B165" s="1" t="s">
        <v>92</v>
      </c>
      <c r="C165" s="1">
        <v>55</v>
      </c>
      <c r="D165" s="1" t="s">
        <v>93</v>
      </c>
      <c r="E165" s="1"/>
      <c r="F165" s="1"/>
      <c r="G165" s="1"/>
      <c r="H165" s="1">
        <v>2</v>
      </c>
      <c r="I165" s="1">
        <v>2636</v>
      </c>
      <c r="J165" s="1">
        <v>48.825000000000003</v>
      </c>
      <c r="K165" s="1">
        <v>815</v>
      </c>
      <c r="L165" s="1">
        <v>1.4E-2</v>
      </c>
      <c r="M165" s="1">
        <v>3.1149999999999998E-4</v>
      </c>
      <c r="N165" s="1">
        <v>0</v>
      </c>
    </row>
    <row r="166" spans="1:14">
      <c r="A166" s="1" t="s">
        <v>70</v>
      </c>
      <c r="B166" s="1" t="s">
        <v>92</v>
      </c>
      <c r="C166" s="1">
        <v>55</v>
      </c>
      <c r="D166" s="1" t="s">
        <v>93</v>
      </c>
      <c r="E166" s="1"/>
      <c r="F166" s="1"/>
      <c r="G166" s="1"/>
      <c r="H166" s="1">
        <v>3</v>
      </c>
      <c r="I166" s="1">
        <v>2836</v>
      </c>
      <c r="J166" s="1">
        <v>25.071999999999999</v>
      </c>
      <c r="K166" s="1">
        <v>1074</v>
      </c>
      <c r="L166" s="1">
        <v>8.9999999999999993E-3</v>
      </c>
      <c r="M166" s="1">
        <v>3.8200000000000002E-4</v>
      </c>
      <c r="N166" s="1">
        <v>226.17</v>
      </c>
    </row>
    <row r="167" spans="1:14">
      <c r="A167" s="1" t="s">
        <v>70</v>
      </c>
      <c r="B167" s="1" t="s">
        <v>94</v>
      </c>
      <c r="C167" s="1">
        <v>56</v>
      </c>
      <c r="D167" s="1" t="s">
        <v>93</v>
      </c>
      <c r="E167" s="1"/>
      <c r="F167" s="1"/>
      <c r="G167" s="1"/>
      <c r="H167" s="1">
        <v>1</v>
      </c>
      <c r="I167" s="1">
        <v>2632</v>
      </c>
      <c r="J167" s="1">
        <v>47.536000000000001</v>
      </c>
      <c r="K167" s="1">
        <v>814</v>
      </c>
      <c r="L167" s="1">
        <v>1.4E-2</v>
      </c>
      <c r="M167" s="1">
        <v>3.1100000000000002E-4</v>
      </c>
      <c r="N167" s="1">
        <v>-1.68</v>
      </c>
    </row>
    <row r="168" spans="1:14">
      <c r="A168" s="1" t="s">
        <v>70</v>
      </c>
      <c r="B168" s="1" t="s">
        <v>94</v>
      </c>
      <c r="C168" s="1">
        <v>56</v>
      </c>
      <c r="D168" s="1" t="s">
        <v>93</v>
      </c>
      <c r="E168" s="1"/>
      <c r="F168" s="1"/>
      <c r="G168" s="1"/>
      <c r="H168" s="1">
        <v>2</v>
      </c>
      <c r="I168" s="1">
        <v>2634</v>
      </c>
      <c r="J168" s="1">
        <v>48.704000000000001</v>
      </c>
      <c r="K168" s="1">
        <v>815</v>
      </c>
      <c r="L168" s="1">
        <v>1.4E-2</v>
      </c>
      <c r="M168" s="1">
        <v>3.1149999999999998E-4</v>
      </c>
      <c r="N168" s="1">
        <v>0</v>
      </c>
    </row>
    <row r="169" spans="1:14">
      <c r="A169" s="1" t="s">
        <v>70</v>
      </c>
      <c r="B169" s="1" t="s">
        <v>94</v>
      </c>
      <c r="C169" s="1">
        <v>56</v>
      </c>
      <c r="D169" s="1" t="s">
        <v>93</v>
      </c>
      <c r="E169" s="1"/>
      <c r="F169" s="1"/>
      <c r="G169" s="1"/>
      <c r="H169" s="1">
        <v>3</v>
      </c>
      <c r="I169" s="1">
        <v>2822</v>
      </c>
      <c r="J169" s="1">
        <v>24.975999999999999</v>
      </c>
      <c r="K169" s="1">
        <v>1067</v>
      </c>
      <c r="L169" s="1">
        <v>8.9999999999999993E-3</v>
      </c>
      <c r="M169" s="1">
        <v>3.8170000000000001E-4</v>
      </c>
      <c r="N169" s="1">
        <v>225.28899999999999</v>
      </c>
    </row>
    <row r="170" spans="1:14">
      <c r="A170" s="1" t="s">
        <v>70</v>
      </c>
      <c r="B170" s="1" t="s">
        <v>95</v>
      </c>
      <c r="C170" s="1">
        <v>57</v>
      </c>
      <c r="D170" s="1" t="s">
        <v>96</v>
      </c>
      <c r="E170" s="1"/>
      <c r="F170" s="1"/>
      <c r="G170" s="1"/>
      <c r="H170" s="1">
        <v>1</v>
      </c>
      <c r="I170" s="1">
        <v>2634</v>
      </c>
      <c r="J170" s="1">
        <v>47.692</v>
      </c>
      <c r="K170" s="1">
        <v>815</v>
      </c>
      <c r="L170" s="1">
        <v>1.4E-2</v>
      </c>
      <c r="M170" s="1">
        <v>3.1149999999999998E-4</v>
      </c>
      <c r="N170" s="1">
        <v>-8.6999999999999994E-2</v>
      </c>
    </row>
    <row r="171" spans="1:14">
      <c r="A171" s="1" t="s">
        <v>70</v>
      </c>
      <c r="B171" s="1" t="s">
        <v>95</v>
      </c>
      <c r="C171" s="1">
        <v>57</v>
      </c>
      <c r="D171" s="1" t="s">
        <v>96</v>
      </c>
      <c r="E171" s="1"/>
      <c r="F171" s="1"/>
      <c r="G171" s="1"/>
      <c r="H171" s="1">
        <v>2</v>
      </c>
      <c r="I171" s="1">
        <v>2636</v>
      </c>
      <c r="J171" s="1">
        <v>48.786999999999999</v>
      </c>
      <c r="K171" s="1">
        <v>815</v>
      </c>
      <c r="L171" s="1">
        <v>1.4E-2</v>
      </c>
      <c r="M171" s="1">
        <v>3.1149999999999998E-4</v>
      </c>
      <c r="N171" s="1">
        <v>0</v>
      </c>
    </row>
    <row r="172" spans="1:14">
      <c r="A172" s="1" t="s">
        <v>70</v>
      </c>
      <c r="B172" s="1" t="s">
        <v>95</v>
      </c>
      <c r="C172" s="1">
        <v>57</v>
      </c>
      <c r="D172" s="1" t="s">
        <v>96</v>
      </c>
      <c r="E172" s="1"/>
      <c r="F172" s="1"/>
      <c r="G172" s="1"/>
      <c r="H172" s="1">
        <v>3</v>
      </c>
      <c r="I172" s="1">
        <v>2771</v>
      </c>
      <c r="J172" s="1">
        <v>24.31</v>
      </c>
      <c r="K172" s="1">
        <v>1046</v>
      </c>
      <c r="L172" s="1">
        <v>8.9999999999999993E-3</v>
      </c>
      <c r="M172" s="1">
        <v>3.812E-4</v>
      </c>
      <c r="N172" s="1">
        <v>223.846</v>
      </c>
    </row>
    <row r="173" spans="1:14">
      <c r="A173" s="1" t="s">
        <v>70</v>
      </c>
      <c r="B173" s="1" t="s">
        <v>97</v>
      </c>
      <c r="C173" s="1">
        <v>58</v>
      </c>
      <c r="D173" s="1" t="s">
        <v>96</v>
      </c>
      <c r="E173" s="1"/>
      <c r="F173" s="1"/>
      <c r="G173" s="1"/>
      <c r="H173" s="1">
        <v>1</v>
      </c>
      <c r="I173" s="1">
        <v>2639</v>
      </c>
      <c r="J173" s="1">
        <v>47.716000000000001</v>
      </c>
      <c r="K173" s="1">
        <v>816</v>
      </c>
      <c r="L173" s="1">
        <v>1.4E-2</v>
      </c>
      <c r="M173" s="1">
        <v>3.1139999999999998E-4</v>
      </c>
      <c r="N173" s="1">
        <v>-0.30599999999999999</v>
      </c>
    </row>
    <row r="174" spans="1:14">
      <c r="A174" s="1" t="s">
        <v>70</v>
      </c>
      <c r="B174" s="1" t="s">
        <v>97</v>
      </c>
      <c r="C174" s="1">
        <v>58</v>
      </c>
      <c r="D174" s="1" t="s">
        <v>96</v>
      </c>
      <c r="E174" s="1"/>
      <c r="F174" s="1"/>
      <c r="G174" s="1"/>
      <c r="H174" s="1">
        <v>2</v>
      </c>
      <c r="I174" s="1">
        <v>2635</v>
      </c>
      <c r="J174" s="1">
        <v>48.787999999999997</v>
      </c>
      <c r="K174" s="1">
        <v>816</v>
      </c>
      <c r="L174" s="1">
        <v>1.4E-2</v>
      </c>
      <c r="M174" s="1">
        <v>3.1149999999999998E-4</v>
      </c>
      <c r="N174" s="1">
        <v>0</v>
      </c>
    </row>
    <row r="175" spans="1:14">
      <c r="A175" s="1" t="s">
        <v>70</v>
      </c>
      <c r="B175" s="1" t="s">
        <v>97</v>
      </c>
      <c r="C175" s="1">
        <v>58</v>
      </c>
      <c r="D175" s="1" t="s">
        <v>96</v>
      </c>
      <c r="E175" s="1"/>
      <c r="F175" s="1"/>
      <c r="G175" s="1"/>
      <c r="H175" s="1">
        <v>3</v>
      </c>
      <c r="I175" s="1">
        <v>2846</v>
      </c>
      <c r="J175" s="1">
        <v>25.19</v>
      </c>
      <c r="K175" s="1">
        <v>1076</v>
      </c>
      <c r="L175" s="1">
        <v>8.9999999999999993E-3</v>
      </c>
      <c r="M175" s="1">
        <v>3.8190000000000001E-4</v>
      </c>
      <c r="N175" s="1">
        <v>225.85599999999999</v>
      </c>
    </row>
    <row r="176" spans="1:14">
      <c r="A176" s="1" t="s">
        <v>70</v>
      </c>
      <c r="B176" s="1" t="s">
        <v>98</v>
      </c>
      <c r="C176" s="1">
        <v>59</v>
      </c>
      <c r="D176" s="1" t="s">
        <v>20</v>
      </c>
      <c r="E176" s="1"/>
      <c r="F176" s="1"/>
      <c r="G176" s="1"/>
      <c r="H176" s="1">
        <v>1</v>
      </c>
      <c r="I176" s="1">
        <v>2632</v>
      </c>
      <c r="J176" s="1">
        <v>47.453000000000003</v>
      </c>
      <c r="K176" s="1">
        <v>815</v>
      </c>
      <c r="L176" s="1">
        <v>1.4E-2</v>
      </c>
      <c r="M176" s="1">
        <v>3.1159999999999998E-4</v>
      </c>
      <c r="N176" s="1">
        <v>0.28999999999999998</v>
      </c>
    </row>
    <row r="177" spans="1:14">
      <c r="A177" s="1" t="s">
        <v>70</v>
      </c>
      <c r="B177" s="1" t="s">
        <v>98</v>
      </c>
      <c r="C177" s="1">
        <v>59</v>
      </c>
      <c r="D177" s="1" t="s">
        <v>20</v>
      </c>
      <c r="E177" s="1"/>
      <c r="F177" s="1"/>
      <c r="G177" s="1"/>
      <c r="H177" s="1">
        <v>2</v>
      </c>
      <c r="I177" s="1">
        <v>2634</v>
      </c>
      <c r="J177" s="1">
        <v>48.82</v>
      </c>
      <c r="K177" s="1">
        <v>815</v>
      </c>
      <c r="L177" s="1">
        <v>1.4E-2</v>
      </c>
      <c r="M177" s="1">
        <v>3.1149999999999998E-4</v>
      </c>
      <c r="N177" s="1">
        <v>0</v>
      </c>
    </row>
    <row r="178" spans="1:14">
      <c r="A178" s="1" t="s">
        <v>70</v>
      </c>
      <c r="B178" s="1" t="s">
        <v>98</v>
      </c>
      <c r="C178" s="1">
        <v>59</v>
      </c>
      <c r="D178" s="1" t="s">
        <v>20</v>
      </c>
      <c r="E178" s="1"/>
      <c r="F178" s="1"/>
      <c r="G178" s="1"/>
      <c r="H178" s="1">
        <v>3</v>
      </c>
      <c r="I178" s="1">
        <v>2796</v>
      </c>
      <c r="J178" s="1">
        <v>24.611000000000001</v>
      </c>
      <c r="K178" s="1">
        <v>1041</v>
      </c>
      <c r="L178" s="1">
        <v>8.9999999999999993E-3</v>
      </c>
      <c r="M178" s="1">
        <v>3.7609999999999998E-4</v>
      </c>
      <c r="N178" s="1">
        <v>207.31800000000001</v>
      </c>
    </row>
    <row r="179" spans="1:14">
      <c r="A179" s="1" t="s">
        <v>70</v>
      </c>
      <c r="B179" s="1" t="s">
        <v>99</v>
      </c>
      <c r="C179" s="1">
        <v>60</v>
      </c>
      <c r="D179" s="1" t="s">
        <v>20</v>
      </c>
      <c r="E179" s="1"/>
      <c r="F179" s="1"/>
      <c r="G179" s="1"/>
      <c r="H179" s="1">
        <v>1</v>
      </c>
      <c r="I179" s="1">
        <v>2634</v>
      </c>
      <c r="J179" s="1">
        <v>47.636000000000003</v>
      </c>
      <c r="K179" s="1">
        <v>815</v>
      </c>
      <c r="L179" s="1">
        <v>1.4E-2</v>
      </c>
      <c r="M179" s="1">
        <v>3.1139999999999998E-4</v>
      </c>
      <c r="N179" s="1">
        <v>-0.25</v>
      </c>
    </row>
    <row r="180" spans="1:14">
      <c r="A180" s="1" t="s">
        <v>70</v>
      </c>
      <c r="B180" s="1" t="s">
        <v>99</v>
      </c>
      <c r="C180" s="1">
        <v>60</v>
      </c>
      <c r="D180" s="1" t="s">
        <v>20</v>
      </c>
      <c r="E180" s="1"/>
      <c r="F180" s="1"/>
      <c r="G180" s="1"/>
      <c r="H180" s="1">
        <v>2</v>
      </c>
      <c r="I180" s="1">
        <v>2637</v>
      </c>
      <c r="J180" s="1">
        <v>48.78</v>
      </c>
      <c r="K180" s="1">
        <v>816</v>
      </c>
      <c r="L180" s="1">
        <v>1.4E-2</v>
      </c>
      <c r="M180" s="1">
        <v>3.1149999999999998E-4</v>
      </c>
      <c r="N180" s="1">
        <v>0</v>
      </c>
    </row>
    <row r="181" spans="1:14">
      <c r="A181" s="1" t="s">
        <v>70</v>
      </c>
      <c r="B181" s="1" t="s">
        <v>99</v>
      </c>
      <c r="C181" s="1">
        <v>60</v>
      </c>
      <c r="D181" s="1" t="s">
        <v>20</v>
      </c>
      <c r="E181" s="1"/>
      <c r="F181" s="1"/>
      <c r="G181" s="1"/>
      <c r="H181" s="1">
        <v>3</v>
      </c>
      <c r="I181" s="1">
        <v>2772</v>
      </c>
      <c r="J181" s="1">
        <v>24.558</v>
      </c>
      <c r="K181" s="1">
        <v>1031</v>
      </c>
      <c r="L181" s="1">
        <v>8.0000000000000002E-3</v>
      </c>
      <c r="M181" s="1">
        <v>3.7609999999999998E-4</v>
      </c>
      <c r="N181" s="1">
        <v>207.26499999999999</v>
      </c>
    </row>
    <row r="182" spans="1:14">
      <c r="A182" s="1" t="s">
        <v>70</v>
      </c>
      <c r="B182" s="1" t="s">
        <v>100</v>
      </c>
      <c r="C182" s="1">
        <v>61</v>
      </c>
      <c r="D182" s="1" t="s">
        <v>101</v>
      </c>
      <c r="E182" s="1"/>
      <c r="F182" s="1"/>
      <c r="G182" s="1"/>
      <c r="H182" s="1">
        <v>1</v>
      </c>
      <c r="I182" s="1">
        <v>2638</v>
      </c>
      <c r="J182" s="1">
        <v>47.637</v>
      </c>
      <c r="K182" s="1">
        <v>816</v>
      </c>
      <c r="L182" s="1">
        <v>1.4E-2</v>
      </c>
      <c r="M182" s="1">
        <v>3.1169999999999999E-4</v>
      </c>
      <c r="N182" s="1">
        <v>0.76800000000000002</v>
      </c>
    </row>
    <row r="183" spans="1:14">
      <c r="A183" s="1" t="s">
        <v>70</v>
      </c>
      <c r="B183" s="1" t="s">
        <v>100</v>
      </c>
      <c r="C183" s="1">
        <v>61</v>
      </c>
      <c r="D183" s="1" t="s">
        <v>101</v>
      </c>
      <c r="E183" s="1"/>
      <c r="F183" s="1"/>
      <c r="G183" s="1"/>
      <c r="H183" s="1">
        <v>2</v>
      </c>
      <c r="I183" s="1">
        <v>2636</v>
      </c>
      <c r="J183" s="1">
        <v>48.81</v>
      </c>
      <c r="K183" s="1">
        <v>816</v>
      </c>
      <c r="L183" s="1">
        <v>1.4E-2</v>
      </c>
      <c r="M183" s="1">
        <v>3.1149999999999998E-4</v>
      </c>
      <c r="N183" s="1">
        <v>0</v>
      </c>
    </row>
    <row r="184" spans="1:14">
      <c r="A184" s="1" t="s">
        <v>70</v>
      </c>
      <c r="B184" s="1" t="s">
        <v>100</v>
      </c>
      <c r="C184" s="1">
        <v>61</v>
      </c>
      <c r="D184" s="1" t="s">
        <v>101</v>
      </c>
      <c r="E184" s="1"/>
      <c r="F184" s="1"/>
      <c r="G184" s="1"/>
      <c r="H184" s="1">
        <v>3</v>
      </c>
      <c r="I184" s="1">
        <v>2763</v>
      </c>
      <c r="J184" s="1">
        <v>24.748000000000001</v>
      </c>
      <c r="K184" s="1">
        <v>1056</v>
      </c>
      <c r="L184" s="1">
        <v>8.9999999999999993E-3</v>
      </c>
      <c r="M184" s="1">
        <v>3.8690000000000003E-4</v>
      </c>
      <c r="N184" s="1">
        <v>242.09399999999999</v>
      </c>
    </row>
    <row r="185" spans="1:14">
      <c r="A185" s="1" t="s">
        <v>70</v>
      </c>
      <c r="B185" s="1" t="s">
        <v>102</v>
      </c>
      <c r="C185" s="1">
        <v>62</v>
      </c>
      <c r="D185" s="1" t="s">
        <v>101</v>
      </c>
      <c r="E185" s="1"/>
      <c r="F185" s="1"/>
      <c r="G185" s="1"/>
      <c r="H185" s="1">
        <v>1</v>
      </c>
      <c r="I185" s="1">
        <v>2633</v>
      </c>
      <c r="J185" s="1">
        <v>47.552999999999997</v>
      </c>
      <c r="K185" s="1">
        <v>814</v>
      </c>
      <c r="L185" s="1">
        <v>1.4E-2</v>
      </c>
      <c r="M185" s="1">
        <v>3.1179999999999999E-4</v>
      </c>
      <c r="N185" s="1">
        <v>0.91300000000000003</v>
      </c>
    </row>
    <row r="186" spans="1:14">
      <c r="A186" s="1" t="s">
        <v>70</v>
      </c>
      <c r="B186" s="1" t="s">
        <v>102</v>
      </c>
      <c r="C186" s="1">
        <v>62</v>
      </c>
      <c r="D186" s="1" t="s">
        <v>101</v>
      </c>
      <c r="E186" s="1"/>
      <c r="F186" s="1"/>
      <c r="G186" s="1"/>
      <c r="H186" s="1">
        <v>2</v>
      </c>
      <c r="I186" s="1">
        <v>2632</v>
      </c>
      <c r="J186" s="1">
        <v>48.698</v>
      </c>
      <c r="K186" s="1">
        <v>814</v>
      </c>
      <c r="L186" s="1">
        <v>1.4E-2</v>
      </c>
      <c r="M186" s="1">
        <v>3.1149999999999998E-4</v>
      </c>
      <c r="N186" s="1">
        <v>0</v>
      </c>
    </row>
    <row r="187" spans="1:14">
      <c r="A187" s="1" t="s">
        <v>70</v>
      </c>
      <c r="B187" s="1" t="s">
        <v>102</v>
      </c>
      <c r="C187" s="1">
        <v>62</v>
      </c>
      <c r="D187" s="1" t="s">
        <v>101</v>
      </c>
      <c r="E187" s="1"/>
      <c r="F187" s="1"/>
      <c r="G187" s="1"/>
      <c r="H187" s="1">
        <v>3</v>
      </c>
      <c r="I187" s="1">
        <v>2841</v>
      </c>
      <c r="J187" s="1">
        <v>25.157</v>
      </c>
      <c r="K187" s="1">
        <v>1087</v>
      </c>
      <c r="L187" s="1">
        <v>8.9999999999999993E-3</v>
      </c>
      <c r="M187" s="1">
        <v>3.8719999999999998E-4</v>
      </c>
      <c r="N187" s="1">
        <v>243.09700000000001</v>
      </c>
    </row>
    <row r="188" spans="1:14">
      <c r="A188" s="1" t="s">
        <v>70</v>
      </c>
      <c r="B188" s="1" t="s">
        <v>103</v>
      </c>
      <c r="C188" s="1">
        <v>63</v>
      </c>
      <c r="D188" s="1" t="s">
        <v>104</v>
      </c>
      <c r="E188" s="1"/>
      <c r="F188" s="1"/>
      <c r="G188" s="1"/>
      <c r="H188" s="1">
        <v>1</v>
      </c>
      <c r="I188" s="1">
        <v>2638</v>
      </c>
      <c r="J188" s="1">
        <v>47.76</v>
      </c>
      <c r="K188" s="1">
        <v>816</v>
      </c>
      <c r="L188" s="1">
        <v>1.4E-2</v>
      </c>
      <c r="M188" s="1">
        <v>3.1129999999999998E-4</v>
      </c>
      <c r="N188" s="1">
        <v>-0.67200000000000004</v>
      </c>
    </row>
    <row r="189" spans="1:14">
      <c r="A189" s="1" t="s">
        <v>70</v>
      </c>
      <c r="B189" s="1" t="s">
        <v>103</v>
      </c>
      <c r="C189" s="1">
        <v>63</v>
      </c>
      <c r="D189" s="1" t="s">
        <v>104</v>
      </c>
      <c r="E189" s="1"/>
      <c r="F189" s="1"/>
      <c r="G189" s="1"/>
      <c r="H189" s="1">
        <v>2</v>
      </c>
      <c r="I189" s="1">
        <v>2635</v>
      </c>
      <c r="J189" s="1">
        <v>48.747999999999998</v>
      </c>
      <c r="K189" s="1">
        <v>815</v>
      </c>
      <c r="L189" s="1">
        <v>1.4E-2</v>
      </c>
      <c r="M189" s="1">
        <v>3.1149999999999998E-4</v>
      </c>
      <c r="N189" s="1">
        <v>0</v>
      </c>
    </row>
    <row r="190" spans="1:14">
      <c r="A190" s="1" t="s">
        <v>70</v>
      </c>
      <c r="B190" s="1" t="s">
        <v>103</v>
      </c>
      <c r="C190" s="1">
        <v>63</v>
      </c>
      <c r="D190" s="1" t="s">
        <v>104</v>
      </c>
      <c r="E190" s="1"/>
      <c r="F190" s="1"/>
      <c r="G190" s="1"/>
      <c r="H190" s="1">
        <v>3</v>
      </c>
      <c r="I190" s="1">
        <v>2897</v>
      </c>
      <c r="J190" s="1">
        <v>25.747</v>
      </c>
      <c r="K190" s="1">
        <v>1082</v>
      </c>
      <c r="L190" s="1">
        <v>8.9999999999999993E-3</v>
      </c>
      <c r="M190" s="1">
        <v>3.7579999999999997E-4</v>
      </c>
      <c r="N190" s="1">
        <v>206.291</v>
      </c>
    </row>
    <row r="191" spans="1:14">
      <c r="A191" s="1" t="s">
        <v>70</v>
      </c>
      <c r="B191" s="1" t="s">
        <v>105</v>
      </c>
      <c r="C191" s="1">
        <v>64</v>
      </c>
      <c r="D191" s="1" t="s">
        <v>104</v>
      </c>
      <c r="E191" s="1"/>
      <c r="F191" s="1"/>
      <c r="G191" s="1"/>
      <c r="H191" s="1">
        <v>1</v>
      </c>
      <c r="I191" s="1">
        <v>2632</v>
      </c>
      <c r="J191" s="1">
        <v>47.524999999999999</v>
      </c>
      <c r="K191" s="1">
        <v>814</v>
      </c>
      <c r="L191" s="1">
        <v>1.4E-2</v>
      </c>
      <c r="M191" s="1">
        <v>3.1139999999999998E-4</v>
      </c>
      <c r="N191" s="1">
        <v>-0.32</v>
      </c>
    </row>
    <row r="192" spans="1:14">
      <c r="A192" s="1" t="s">
        <v>70</v>
      </c>
      <c r="B192" s="1" t="s">
        <v>105</v>
      </c>
      <c r="C192" s="1">
        <v>64</v>
      </c>
      <c r="D192" s="1" t="s">
        <v>104</v>
      </c>
      <c r="E192" s="1"/>
      <c r="F192" s="1"/>
      <c r="G192" s="1"/>
      <c r="H192" s="1">
        <v>2</v>
      </c>
      <c r="I192" s="1">
        <v>2631</v>
      </c>
      <c r="J192" s="1">
        <v>48.61</v>
      </c>
      <c r="K192" s="1">
        <v>814</v>
      </c>
      <c r="L192" s="1">
        <v>1.4E-2</v>
      </c>
      <c r="M192" s="1">
        <v>3.1149999999999998E-4</v>
      </c>
      <c r="N192" s="1">
        <v>0</v>
      </c>
    </row>
    <row r="193" spans="1:14">
      <c r="A193" s="1" t="s">
        <v>70</v>
      </c>
      <c r="B193" s="1" t="s">
        <v>105</v>
      </c>
      <c r="C193" s="1">
        <v>64</v>
      </c>
      <c r="D193" s="1" t="s">
        <v>104</v>
      </c>
      <c r="E193" s="1"/>
      <c r="F193" s="1"/>
      <c r="G193" s="1"/>
      <c r="H193" s="1">
        <v>3</v>
      </c>
      <c r="I193" s="1">
        <v>2884</v>
      </c>
      <c r="J193" s="1">
        <v>25.661999999999999</v>
      </c>
      <c r="K193" s="1">
        <v>1076</v>
      </c>
      <c r="L193" s="1">
        <v>8.9999999999999993E-3</v>
      </c>
      <c r="M193" s="1">
        <v>3.7609999999999998E-4</v>
      </c>
      <c r="N193" s="1">
        <v>207.31299999999999</v>
      </c>
    </row>
    <row r="194" spans="1:14">
      <c r="A194" s="1" t="s">
        <v>70</v>
      </c>
      <c r="B194" s="1" t="s">
        <v>106</v>
      </c>
      <c r="C194" s="1">
        <v>65</v>
      </c>
      <c r="D194" s="1" t="s">
        <v>107</v>
      </c>
      <c r="E194" s="1"/>
      <c r="F194" s="1"/>
      <c r="G194" s="1"/>
      <c r="H194" s="1">
        <v>1</v>
      </c>
      <c r="I194" s="1">
        <v>2632</v>
      </c>
      <c r="J194" s="1">
        <v>47.530999999999999</v>
      </c>
      <c r="K194" s="1">
        <v>814</v>
      </c>
      <c r="L194" s="1">
        <v>1.4E-2</v>
      </c>
      <c r="M194" s="1">
        <v>3.1149999999999998E-4</v>
      </c>
      <c r="N194" s="1">
        <v>-0.152</v>
      </c>
    </row>
    <row r="195" spans="1:14">
      <c r="A195" s="1" t="s">
        <v>70</v>
      </c>
      <c r="B195" s="1" t="s">
        <v>106</v>
      </c>
      <c r="C195" s="1">
        <v>65</v>
      </c>
      <c r="D195" s="1" t="s">
        <v>107</v>
      </c>
      <c r="E195" s="1"/>
      <c r="F195" s="1"/>
      <c r="G195" s="1"/>
      <c r="H195" s="1">
        <v>2</v>
      </c>
      <c r="I195" s="1">
        <v>2633</v>
      </c>
      <c r="J195" s="1">
        <v>48.73</v>
      </c>
      <c r="K195" s="1">
        <v>815</v>
      </c>
      <c r="L195" s="1">
        <v>1.4E-2</v>
      </c>
      <c r="M195" s="1">
        <v>3.1149999999999998E-4</v>
      </c>
      <c r="N195" s="1">
        <v>0</v>
      </c>
    </row>
    <row r="196" spans="1:14">
      <c r="A196" s="1" t="s">
        <v>70</v>
      </c>
      <c r="B196" s="1" t="s">
        <v>106</v>
      </c>
      <c r="C196" s="1">
        <v>65</v>
      </c>
      <c r="D196" s="1" t="s">
        <v>107</v>
      </c>
      <c r="E196" s="1"/>
      <c r="F196" s="1"/>
      <c r="G196" s="1"/>
      <c r="H196" s="1">
        <v>3</v>
      </c>
      <c r="I196" s="1">
        <v>4320</v>
      </c>
      <c r="J196" s="1">
        <v>40.975999999999999</v>
      </c>
      <c r="K196" s="1">
        <v>1550</v>
      </c>
      <c r="L196" s="1">
        <v>1.2999999999999999E-2</v>
      </c>
      <c r="M196" s="1">
        <v>3.4890000000000002E-4</v>
      </c>
      <c r="N196" s="1">
        <v>120.125</v>
      </c>
    </row>
    <row r="197" spans="1:14">
      <c r="A197" s="1" t="s">
        <v>70</v>
      </c>
      <c r="B197" s="1" t="s">
        <v>108</v>
      </c>
      <c r="C197" s="1">
        <v>66</v>
      </c>
      <c r="D197" s="1" t="s">
        <v>107</v>
      </c>
      <c r="E197" s="1"/>
      <c r="F197" s="1"/>
      <c r="G197" s="1"/>
      <c r="H197" s="1">
        <v>1</v>
      </c>
      <c r="I197" s="1">
        <v>2633</v>
      </c>
      <c r="J197" s="1">
        <v>47.585000000000001</v>
      </c>
      <c r="K197" s="1">
        <v>814</v>
      </c>
      <c r="L197" s="1">
        <v>1.4E-2</v>
      </c>
      <c r="M197" s="1">
        <v>3.1149999999999998E-4</v>
      </c>
      <c r="N197" s="1">
        <v>-0.154</v>
      </c>
    </row>
    <row r="198" spans="1:14">
      <c r="A198" s="1" t="s">
        <v>70</v>
      </c>
      <c r="B198" s="1" t="s">
        <v>108</v>
      </c>
      <c r="C198" s="1">
        <v>66</v>
      </c>
      <c r="D198" s="1" t="s">
        <v>107</v>
      </c>
      <c r="E198" s="1"/>
      <c r="F198" s="1"/>
      <c r="G198" s="1"/>
      <c r="H198" s="1">
        <v>2</v>
      </c>
      <c r="I198" s="1">
        <v>2636</v>
      </c>
      <c r="J198" s="1">
        <v>48.771999999999998</v>
      </c>
      <c r="K198" s="1">
        <v>816</v>
      </c>
      <c r="L198" s="1">
        <v>1.4E-2</v>
      </c>
      <c r="M198" s="1">
        <v>3.1149999999999998E-4</v>
      </c>
      <c r="N198" s="1">
        <v>0</v>
      </c>
    </row>
    <row r="199" spans="1:14">
      <c r="A199" s="1" t="s">
        <v>70</v>
      </c>
      <c r="B199" s="1" t="s">
        <v>108</v>
      </c>
      <c r="C199" s="1">
        <v>66</v>
      </c>
      <c r="D199" s="1" t="s">
        <v>107</v>
      </c>
      <c r="E199" s="1"/>
      <c r="F199" s="1"/>
      <c r="G199" s="1"/>
      <c r="H199" s="1">
        <v>3</v>
      </c>
      <c r="I199" s="1">
        <v>2903</v>
      </c>
      <c r="J199" s="1">
        <v>25.988</v>
      </c>
      <c r="K199" s="1">
        <v>1010</v>
      </c>
      <c r="L199" s="1">
        <v>8.0000000000000002E-3</v>
      </c>
      <c r="M199" s="1">
        <v>3.4890000000000002E-4</v>
      </c>
      <c r="N199" s="1">
        <v>120.155</v>
      </c>
    </row>
    <row r="200" spans="1:14">
      <c r="A200" s="1" t="s">
        <v>70</v>
      </c>
      <c r="B200" s="1" t="s">
        <v>109</v>
      </c>
      <c r="C200" s="1">
        <v>67</v>
      </c>
      <c r="D200" s="1" t="s">
        <v>110</v>
      </c>
      <c r="E200" s="1"/>
      <c r="F200" s="1"/>
      <c r="G200" s="1"/>
      <c r="H200" s="1">
        <v>1</v>
      </c>
      <c r="I200" s="1">
        <v>2631</v>
      </c>
      <c r="J200" s="1">
        <v>47.5</v>
      </c>
      <c r="K200" s="1">
        <v>814</v>
      </c>
      <c r="L200" s="1">
        <v>1.4E-2</v>
      </c>
      <c r="M200" s="1">
        <v>3.1189999999999999E-4</v>
      </c>
      <c r="N200" s="1">
        <v>1.1619999999999999</v>
      </c>
    </row>
    <row r="201" spans="1:14">
      <c r="A201" s="1" t="s">
        <v>70</v>
      </c>
      <c r="B201" s="1" t="s">
        <v>109</v>
      </c>
      <c r="C201" s="1">
        <v>67</v>
      </c>
      <c r="D201" s="1" t="s">
        <v>110</v>
      </c>
      <c r="E201" s="1"/>
      <c r="F201" s="1"/>
      <c r="G201" s="1"/>
      <c r="H201" s="1">
        <v>2</v>
      </c>
      <c r="I201" s="1">
        <v>2631</v>
      </c>
      <c r="J201" s="1">
        <v>48.691000000000003</v>
      </c>
      <c r="K201" s="1">
        <v>813</v>
      </c>
      <c r="L201" s="1">
        <v>1.4E-2</v>
      </c>
      <c r="M201" s="1">
        <v>3.1149999999999998E-4</v>
      </c>
      <c r="N201" s="1">
        <v>0</v>
      </c>
    </row>
    <row r="202" spans="1:14">
      <c r="A202" s="1" t="s">
        <v>70</v>
      </c>
      <c r="B202" s="1" t="s">
        <v>109</v>
      </c>
      <c r="C202" s="1">
        <v>67</v>
      </c>
      <c r="D202" s="1" t="s">
        <v>110</v>
      </c>
      <c r="E202" s="1"/>
      <c r="F202" s="1"/>
      <c r="G202" s="1"/>
      <c r="H202" s="1">
        <v>3</v>
      </c>
      <c r="I202" s="1">
        <v>2756</v>
      </c>
      <c r="J202" s="1">
        <v>24.5</v>
      </c>
      <c r="K202" s="1">
        <v>971</v>
      </c>
      <c r="L202" s="1">
        <v>8.0000000000000002E-3</v>
      </c>
      <c r="M202" s="1">
        <v>3.547E-4</v>
      </c>
      <c r="N202" s="1">
        <v>138.559</v>
      </c>
    </row>
    <row r="203" spans="1:14">
      <c r="A203" s="1" t="s">
        <v>70</v>
      </c>
      <c r="B203" s="1" t="s">
        <v>111</v>
      </c>
      <c r="C203" s="1">
        <v>68</v>
      </c>
      <c r="D203" s="1" t="s">
        <v>110</v>
      </c>
      <c r="E203" s="1"/>
      <c r="F203" s="1"/>
      <c r="G203" s="1"/>
      <c r="H203" s="1">
        <v>1</v>
      </c>
      <c r="I203" s="1">
        <v>2639</v>
      </c>
      <c r="J203" s="1">
        <v>47.552</v>
      </c>
      <c r="K203" s="1">
        <v>816</v>
      </c>
      <c r="L203" s="1">
        <v>1.4E-2</v>
      </c>
      <c r="M203" s="1">
        <v>3.1139999999999998E-4</v>
      </c>
      <c r="N203" s="1">
        <v>-0.39400000000000002</v>
      </c>
    </row>
    <row r="204" spans="1:14">
      <c r="A204" s="1" t="s">
        <v>70</v>
      </c>
      <c r="B204" s="1" t="s">
        <v>111</v>
      </c>
      <c r="C204" s="1">
        <v>68</v>
      </c>
      <c r="D204" s="1" t="s">
        <v>110</v>
      </c>
      <c r="E204" s="1"/>
      <c r="F204" s="1"/>
      <c r="G204" s="1"/>
      <c r="H204" s="1">
        <v>2</v>
      </c>
      <c r="I204" s="1">
        <v>2638</v>
      </c>
      <c r="J204" s="1">
        <v>48.750999999999998</v>
      </c>
      <c r="K204" s="1">
        <v>816</v>
      </c>
      <c r="L204" s="1">
        <v>1.4E-2</v>
      </c>
      <c r="M204" s="1">
        <v>3.1149999999999998E-4</v>
      </c>
      <c r="N204" s="1">
        <v>0</v>
      </c>
    </row>
    <row r="205" spans="1:14">
      <c r="A205" s="1" t="s">
        <v>70</v>
      </c>
      <c r="B205" s="1" t="s">
        <v>111</v>
      </c>
      <c r="C205" s="1">
        <v>68</v>
      </c>
      <c r="D205" s="1" t="s">
        <v>110</v>
      </c>
      <c r="E205" s="1"/>
      <c r="F205" s="1"/>
      <c r="G205" s="1"/>
      <c r="H205" s="1">
        <v>3</v>
      </c>
      <c r="I205" s="1">
        <v>2722</v>
      </c>
      <c r="J205" s="1">
        <v>24.363</v>
      </c>
      <c r="K205" s="1">
        <v>960</v>
      </c>
      <c r="L205" s="1">
        <v>8.0000000000000002E-3</v>
      </c>
      <c r="M205" s="1">
        <v>3.546E-4</v>
      </c>
      <c r="N205" s="1">
        <v>138.434</v>
      </c>
    </row>
    <row r="206" spans="1:14">
      <c r="A206" s="1" t="s">
        <v>70</v>
      </c>
      <c r="B206" s="1" t="s">
        <v>112</v>
      </c>
      <c r="C206" s="1">
        <v>69</v>
      </c>
      <c r="D206" s="1" t="s">
        <v>113</v>
      </c>
      <c r="E206" s="1"/>
      <c r="F206" s="1"/>
      <c r="G206" s="1"/>
      <c r="H206" s="1">
        <v>1</v>
      </c>
      <c r="I206" s="1">
        <v>2633</v>
      </c>
      <c r="J206" s="1">
        <v>47.603999999999999</v>
      </c>
      <c r="K206" s="1">
        <v>815</v>
      </c>
      <c r="L206" s="1">
        <v>1.4E-2</v>
      </c>
      <c r="M206" s="1">
        <v>3.1159999999999998E-4</v>
      </c>
      <c r="N206" s="1">
        <v>0.26100000000000001</v>
      </c>
    </row>
    <row r="207" spans="1:14">
      <c r="A207" s="1" t="s">
        <v>70</v>
      </c>
      <c r="B207" s="1" t="s">
        <v>112</v>
      </c>
      <c r="C207" s="1">
        <v>69</v>
      </c>
      <c r="D207" s="1" t="s">
        <v>113</v>
      </c>
      <c r="E207" s="1"/>
      <c r="F207" s="1"/>
      <c r="G207" s="1"/>
      <c r="H207" s="1">
        <v>2</v>
      </c>
      <c r="I207" s="1">
        <v>2632</v>
      </c>
      <c r="J207" s="1">
        <v>48.716000000000001</v>
      </c>
      <c r="K207" s="1">
        <v>814</v>
      </c>
      <c r="L207" s="1">
        <v>1.4E-2</v>
      </c>
      <c r="M207" s="1">
        <v>3.1149999999999998E-4</v>
      </c>
      <c r="N207" s="1">
        <v>0</v>
      </c>
    </row>
    <row r="208" spans="1:14">
      <c r="A208" s="1" t="s">
        <v>70</v>
      </c>
      <c r="B208" s="1" t="s">
        <v>112</v>
      </c>
      <c r="C208" s="1">
        <v>69</v>
      </c>
      <c r="D208" s="1" t="s">
        <v>113</v>
      </c>
      <c r="E208" s="1"/>
      <c r="F208" s="1"/>
      <c r="G208" s="1"/>
      <c r="H208" s="1">
        <v>3</v>
      </c>
      <c r="I208" s="1">
        <v>2806</v>
      </c>
      <c r="J208" s="1">
        <v>24.963000000000001</v>
      </c>
      <c r="K208" s="1">
        <v>1027</v>
      </c>
      <c r="L208" s="1">
        <v>8.0000000000000002E-3</v>
      </c>
      <c r="M208" s="1">
        <v>3.6890000000000002E-4</v>
      </c>
      <c r="N208" s="1">
        <v>184.18199999999999</v>
      </c>
    </row>
    <row r="209" spans="1:14">
      <c r="A209" s="1" t="s">
        <v>70</v>
      </c>
      <c r="B209" s="1" t="s">
        <v>114</v>
      </c>
      <c r="C209" s="1">
        <v>70</v>
      </c>
      <c r="D209" s="1" t="s">
        <v>113</v>
      </c>
      <c r="E209" s="1"/>
      <c r="F209" s="1"/>
      <c r="G209" s="1"/>
      <c r="H209" s="1">
        <v>1</v>
      </c>
      <c r="I209" s="1">
        <v>2638</v>
      </c>
      <c r="J209" s="1">
        <v>47.732999999999997</v>
      </c>
      <c r="K209" s="1">
        <v>816</v>
      </c>
      <c r="L209" s="1">
        <v>1.4E-2</v>
      </c>
      <c r="M209" s="1">
        <v>3.1149999999999998E-4</v>
      </c>
      <c r="N209" s="1">
        <v>0.14599999999999999</v>
      </c>
    </row>
    <row r="210" spans="1:14">
      <c r="A210" s="1" t="s">
        <v>70</v>
      </c>
      <c r="B210" s="1" t="s">
        <v>114</v>
      </c>
      <c r="C210" s="1">
        <v>70</v>
      </c>
      <c r="D210" s="1" t="s">
        <v>113</v>
      </c>
      <c r="E210" s="1"/>
      <c r="F210" s="1"/>
      <c r="G210" s="1"/>
      <c r="H210" s="1">
        <v>2</v>
      </c>
      <c r="I210" s="1">
        <v>2637</v>
      </c>
      <c r="J210" s="1">
        <v>48.805</v>
      </c>
      <c r="K210" s="1">
        <v>815</v>
      </c>
      <c r="L210" s="1">
        <v>1.4E-2</v>
      </c>
      <c r="M210" s="1">
        <v>3.1149999999999998E-4</v>
      </c>
      <c r="N210" s="1">
        <v>0</v>
      </c>
    </row>
    <row r="211" spans="1:14">
      <c r="A211" s="1" t="s">
        <v>70</v>
      </c>
      <c r="B211" s="1" t="s">
        <v>114</v>
      </c>
      <c r="C211" s="1">
        <v>70</v>
      </c>
      <c r="D211" s="1" t="s">
        <v>113</v>
      </c>
      <c r="E211" s="1"/>
      <c r="F211" s="1"/>
      <c r="G211" s="1"/>
      <c r="H211" s="1">
        <v>3</v>
      </c>
      <c r="I211" s="1">
        <v>2782</v>
      </c>
      <c r="J211" s="1">
        <v>24.809000000000001</v>
      </c>
      <c r="K211" s="1">
        <v>1019</v>
      </c>
      <c r="L211" s="1">
        <v>8.0000000000000002E-3</v>
      </c>
      <c r="M211" s="1">
        <v>3.6989999999999999E-4</v>
      </c>
      <c r="N211" s="1">
        <v>187.53</v>
      </c>
    </row>
    <row r="212" spans="1:14">
      <c r="A212" s="1" t="s">
        <v>70</v>
      </c>
      <c r="B212" s="1" t="s">
        <v>115</v>
      </c>
      <c r="C212" s="1">
        <v>71</v>
      </c>
      <c r="D212" s="1" t="s">
        <v>20</v>
      </c>
      <c r="E212" s="1"/>
      <c r="F212" s="1"/>
      <c r="G212" s="1"/>
      <c r="H212" s="1">
        <v>1</v>
      </c>
      <c r="I212" s="1">
        <v>2633</v>
      </c>
      <c r="J212" s="1">
        <v>47.616</v>
      </c>
      <c r="K212" s="1">
        <v>816</v>
      </c>
      <c r="L212" s="1">
        <v>1.4E-2</v>
      </c>
      <c r="M212" s="1">
        <v>3.1149999999999998E-4</v>
      </c>
      <c r="N212" s="1">
        <v>0.13500000000000001</v>
      </c>
    </row>
    <row r="213" spans="1:14">
      <c r="A213" s="1" t="s">
        <v>70</v>
      </c>
      <c r="B213" s="1" t="s">
        <v>115</v>
      </c>
      <c r="C213" s="1">
        <v>71</v>
      </c>
      <c r="D213" s="1" t="s">
        <v>20</v>
      </c>
      <c r="E213" s="1"/>
      <c r="F213" s="1"/>
      <c r="G213" s="1"/>
      <c r="H213" s="1">
        <v>2</v>
      </c>
      <c r="I213" s="1">
        <v>2637</v>
      </c>
      <c r="J213" s="1">
        <v>48.822000000000003</v>
      </c>
      <c r="K213" s="1">
        <v>815</v>
      </c>
      <c r="L213" s="1">
        <v>1.4E-2</v>
      </c>
      <c r="M213" s="1">
        <v>3.1149999999999998E-4</v>
      </c>
      <c r="N213" s="1">
        <v>0</v>
      </c>
    </row>
    <row r="214" spans="1:14">
      <c r="A214" s="1" t="s">
        <v>70</v>
      </c>
      <c r="B214" s="1" t="s">
        <v>115</v>
      </c>
      <c r="C214" s="1">
        <v>71</v>
      </c>
      <c r="D214" s="1" t="s">
        <v>20</v>
      </c>
      <c r="E214" s="1"/>
      <c r="F214" s="1"/>
      <c r="G214" s="1"/>
      <c r="H214" s="1">
        <v>3</v>
      </c>
      <c r="I214" s="1">
        <v>2835</v>
      </c>
      <c r="J214" s="1">
        <v>25.396999999999998</v>
      </c>
      <c r="K214" s="1">
        <v>1056</v>
      </c>
      <c r="L214" s="1">
        <v>8.9999999999999993E-3</v>
      </c>
      <c r="M214" s="1">
        <v>3.7579999999999997E-4</v>
      </c>
      <c r="N214" s="1">
        <v>206.42</v>
      </c>
    </row>
    <row r="215" spans="1:14">
      <c r="A215" s="1" t="s">
        <v>70</v>
      </c>
      <c r="B215" s="1" t="s">
        <v>116</v>
      </c>
      <c r="C215" s="1">
        <v>72</v>
      </c>
      <c r="D215" s="1" t="s">
        <v>20</v>
      </c>
      <c r="E215" s="1"/>
      <c r="F215" s="1"/>
      <c r="G215" s="1"/>
      <c r="H215" s="1">
        <v>1</v>
      </c>
      <c r="I215" s="1">
        <v>2636</v>
      </c>
      <c r="J215" s="1">
        <v>47.762999999999998</v>
      </c>
      <c r="K215" s="1">
        <v>814</v>
      </c>
      <c r="L215" s="1">
        <v>1.4E-2</v>
      </c>
      <c r="M215" s="1">
        <v>3.1139999999999998E-4</v>
      </c>
      <c r="N215" s="1">
        <v>-0.35399999999999998</v>
      </c>
    </row>
    <row r="216" spans="1:14">
      <c r="A216" s="1" t="s">
        <v>70</v>
      </c>
      <c r="B216" s="1" t="s">
        <v>116</v>
      </c>
      <c r="C216" s="1">
        <v>72</v>
      </c>
      <c r="D216" s="1" t="s">
        <v>20</v>
      </c>
      <c r="E216" s="1"/>
      <c r="F216" s="1"/>
      <c r="G216" s="1"/>
      <c r="H216" s="1">
        <v>2</v>
      </c>
      <c r="I216" s="1">
        <v>2632</v>
      </c>
      <c r="J216" s="1">
        <v>48.731999999999999</v>
      </c>
      <c r="K216" s="1">
        <v>814</v>
      </c>
      <c r="L216" s="1">
        <v>1.4E-2</v>
      </c>
      <c r="M216" s="1">
        <v>3.1149999999999998E-4</v>
      </c>
      <c r="N216" s="1">
        <v>0</v>
      </c>
    </row>
    <row r="217" spans="1:14">
      <c r="A217" s="1" t="s">
        <v>70</v>
      </c>
      <c r="B217" s="1" t="s">
        <v>116</v>
      </c>
      <c r="C217" s="1">
        <v>72</v>
      </c>
      <c r="D217" s="1" t="s">
        <v>20</v>
      </c>
      <c r="E217" s="1"/>
      <c r="F217" s="1"/>
      <c r="G217" s="1"/>
      <c r="H217" s="1">
        <v>3</v>
      </c>
      <c r="I217" s="1">
        <v>2774</v>
      </c>
      <c r="J217" s="1">
        <v>24.702000000000002</v>
      </c>
      <c r="K217" s="1">
        <v>1033</v>
      </c>
      <c r="L217" s="1">
        <v>8.9999999999999993E-3</v>
      </c>
      <c r="M217" s="1">
        <v>3.7589999999999998E-4</v>
      </c>
      <c r="N217" s="1">
        <v>206.70099999999999</v>
      </c>
    </row>
    <row r="218" spans="1:14">
      <c r="A218" s="1" t="s">
        <v>70</v>
      </c>
      <c r="B218" s="1" t="s">
        <v>117</v>
      </c>
      <c r="C218" s="1">
        <v>73</v>
      </c>
      <c r="D218" s="1" t="s">
        <v>118</v>
      </c>
      <c r="E218" s="1"/>
      <c r="F218" s="1"/>
      <c r="G218" s="1"/>
      <c r="H218" s="1">
        <v>1</v>
      </c>
      <c r="I218" s="1">
        <v>2637</v>
      </c>
      <c r="J218" s="1">
        <v>47.661000000000001</v>
      </c>
      <c r="K218" s="1">
        <v>814</v>
      </c>
      <c r="L218" s="1">
        <v>1.4E-2</v>
      </c>
      <c r="M218" s="1">
        <v>3.1139999999999998E-4</v>
      </c>
      <c r="N218" s="1">
        <v>-0.17199999999999999</v>
      </c>
    </row>
    <row r="219" spans="1:14">
      <c r="A219" s="1" t="s">
        <v>70</v>
      </c>
      <c r="B219" s="1" t="s">
        <v>117</v>
      </c>
      <c r="C219" s="1">
        <v>73</v>
      </c>
      <c r="D219" s="1" t="s">
        <v>118</v>
      </c>
      <c r="E219" s="1"/>
      <c r="F219" s="1"/>
      <c r="G219" s="1"/>
      <c r="H219" s="1">
        <v>2</v>
      </c>
      <c r="I219" s="1">
        <v>2634</v>
      </c>
      <c r="J219" s="1">
        <v>48.753</v>
      </c>
      <c r="K219" s="1">
        <v>815</v>
      </c>
      <c r="L219" s="1">
        <v>1.4E-2</v>
      </c>
      <c r="M219" s="1">
        <v>3.1149999999999998E-4</v>
      </c>
      <c r="N219" s="1">
        <v>0</v>
      </c>
    </row>
    <row r="220" spans="1:14">
      <c r="A220" s="1" t="s">
        <v>70</v>
      </c>
      <c r="B220" s="1" t="s">
        <v>117</v>
      </c>
      <c r="C220" s="1">
        <v>73</v>
      </c>
      <c r="D220" s="1" t="s">
        <v>118</v>
      </c>
      <c r="E220" s="1"/>
      <c r="F220" s="1"/>
      <c r="G220" s="1"/>
      <c r="H220" s="1">
        <v>3</v>
      </c>
      <c r="I220" s="1">
        <v>2796</v>
      </c>
      <c r="J220" s="1">
        <v>25.187000000000001</v>
      </c>
      <c r="K220" s="1">
        <v>1068</v>
      </c>
      <c r="L220" s="1">
        <v>8.9999999999999993E-3</v>
      </c>
      <c r="M220" s="1">
        <v>3.86E-4</v>
      </c>
      <c r="N220" s="1">
        <v>239.143</v>
      </c>
    </row>
    <row r="221" spans="1:14">
      <c r="A221" s="1" t="s">
        <v>70</v>
      </c>
      <c r="B221" s="1" t="s">
        <v>119</v>
      </c>
      <c r="C221" s="1">
        <v>74</v>
      </c>
      <c r="D221" s="1" t="s">
        <v>118</v>
      </c>
      <c r="E221" s="1"/>
      <c r="F221" s="1"/>
      <c r="G221" s="1"/>
      <c r="H221" s="1">
        <v>1</v>
      </c>
      <c r="I221" s="1">
        <v>2629</v>
      </c>
      <c r="J221" s="1">
        <v>47.534999999999997</v>
      </c>
      <c r="K221" s="1">
        <v>814</v>
      </c>
      <c r="L221" s="1">
        <v>1.4E-2</v>
      </c>
      <c r="M221" s="1">
        <v>3.1189999999999999E-4</v>
      </c>
      <c r="N221" s="1">
        <v>1.2490000000000001</v>
      </c>
    </row>
    <row r="222" spans="1:14">
      <c r="A222" s="1" t="s">
        <v>70</v>
      </c>
      <c r="B222" s="1" t="s">
        <v>119</v>
      </c>
      <c r="C222" s="1">
        <v>74</v>
      </c>
      <c r="D222" s="1" t="s">
        <v>118</v>
      </c>
      <c r="E222" s="1"/>
      <c r="F222" s="1"/>
      <c r="G222" s="1"/>
      <c r="H222" s="1">
        <v>2</v>
      </c>
      <c r="I222" s="1">
        <v>2630</v>
      </c>
      <c r="J222" s="1">
        <v>48.710999999999999</v>
      </c>
      <c r="K222" s="1">
        <v>813</v>
      </c>
      <c r="L222" s="1">
        <v>1.4E-2</v>
      </c>
      <c r="M222" s="1">
        <v>3.1149999999999998E-4</v>
      </c>
      <c r="N222" s="1">
        <v>0</v>
      </c>
    </row>
    <row r="223" spans="1:14">
      <c r="A223" s="1" t="s">
        <v>70</v>
      </c>
      <c r="B223" s="1" t="s">
        <v>119</v>
      </c>
      <c r="C223" s="1">
        <v>74</v>
      </c>
      <c r="D223" s="1" t="s">
        <v>118</v>
      </c>
      <c r="E223" s="1"/>
      <c r="F223" s="1"/>
      <c r="G223" s="1"/>
      <c r="H223" s="1">
        <v>3</v>
      </c>
      <c r="I223" s="1">
        <v>2733</v>
      </c>
      <c r="J223" s="1">
        <v>24.396000000000001</v>
      </c>
      <c r="K223" s="1">
        <v>1043</v>
      </c>
      <c r="L223" s="1">
        <v>8.9999999999999993E-3</v>
      </c>
      <c r="M223" s="1">
        <v>3.8709999999999998E-4</v>
      </c>
      <c r="N223" s="1">
        <v>242.779</v>
      </c>
    </row>
    <row r="224" spans="1:14">
      <c r="A224" s="1" t="s">
        <v>70</v>
      </c>
      <c r="B224" s="1" t="s">
        <v>120</v>
      </c>
      <c r="C224" s="1">
        <v>75</v>
      </c>
      <c r="D224" s="1" t="s">
        <v>121</v>
      </c>
      <c r="E224" s="1"/>
      <c r="F224" s="1"/>
      <c r="G224" s="1"/>
      <c r="H224" s="1">
        <v>1</v>
      </c>
      <c r="I224" s="1">
        <v>2631</v>
      </c>
      <c r="J224" s="1">
        <v>47.597999999999999</v>
      </c>
      <c r="K224" s="1">
        <v>814</v>
      </c>
      <c r="L224" s="1">
        <v>1.4E-2</v>
      </c>
      <c r="M224" s="1">
        <v>3.1149999999999998E-4</v>
      </c>
      <c r="N224" s="1">
        <v>0.10299999999999999</v>
      </c>
    </row>
    <row r="225" spans="1:14">
      <c r="A225" s="1" t="s">
        <v>70</v>
      </c>
      <c r="B225" s="1" t="s">
        <v>120</v>
      </c>
      <c r="C225" s="1">
        <v>75</v>
      </c>
      <c r="D225" s="1" t="s">
        <v>121</v>
      </c>
      <c r="E225" s="1"/>
      <c r="F225" s="1"/>
      <c r="G225" s="1"/>
      <c r="H225" s="1">
        <v>2</v>
      </c>
      <c r="I225" s="1">
        <v>2631</v>
      </c>
      <c r="J225" s="1">
        <v>48.771999999999998</v>
      </c>
      <c r="K225" s="1">
        <v>813</v>
      </c>
      <c r="L225" s="1">
        <v>1.4E-2</v>
      </c>
      <c r="M225" s="1">
        <v>3.1149999999999998E-4</v>
      </c>
      <c r="N225" s="1">
        <v>0</v>
      </c>
    </row>
    <row r="226" spans="1:14">
      <c r="A226" s="1" t="s">
        <v>70</v>
      </c>
      <c r="B226" s="1" t="s">
        <v>120</v>
      </c>
      <c r="C226" s="1">
        <v>75</v>
      </c>
      <c r="D226" s="1" t="s">
        <v>121</v>
      </c>
      <c r="E226" s="1"/>
      <c r="F226" s="1"/>
      <c r="G226" s="1"/>
      <c r="H226" s="1">
        <v>3</v>
      </c>
      <c r="I226" s="1">
        <v>2793</v>
      </c>
      <c r="J226" s="1">
        <v>24.695</v>
      </c>
      <c r="K226" s="1">
        <v>1075</v>
      </c>
      <c r="L226" s="1">
        <v>8.9999999999999993E-3</v>
      </c>
      <c r="M226" s="1">
        <v>3.8910000000000003E-4</v>
      </c>
      <c r="N226" s="1">
        <v>249.08500000000001</v>
      </c>
    </row>
    <row r="227" spans="1:14">
      <c r="A227" s="1" t="s">
        <v>70</v>
      </c>
      <c r="B227" s="1" t="s">
        <v>122</v>
      </c>
      <c r="C227" s="1">
        <v>76</v>
      </c>
      <c r="D227" s="1" t="s">
        <v>121</v>
      </c>
      <c r="E227" s="1"/>
      <c r="F227" s="1"/>
      <c r="G227" s="1"/>
      <c r="H227" s="1">
        <v>1</v>
      </c>
      <c r="I227" s="1">
        <v>2626</v>
      </c>
      <c r="J227" s="1">
        <v>47.554000000000002</v>
      </c>
      <c r="K227" s="1">
        <v>813</v>
      </c>
      <c r="L227" s="1">
        <v>1.4E-2</v>
      </c>
      <c r="M227" s="1">
        <v>3.1149999999999998E-4</v>
      </c>
      <c r="N227" s="1">
        <v>0.14599999999999999</v>
      </c>
    </row>
    <row r="228" spans="1:14">
      <c r="A228" s="1" t="s">
        <v>70</v>
      </c>
      <c r="B228" s="1" t="s">
        <v>122</v>
      </c>
      <c r="C228" s="1">
        <v>76</v>
      </c>
      <c r="D228" s="1" t="s">
        <v>121</v>
      </c>
      <c r="E228" s="1"/>
      <c r="F228" s="1"/>
      <c r="G228" s="1"/>
      <c r="H228" s="1">
        <v>2</v>
      </c>
      <c r="I228" s="1">
        <v>2628</v>
      </c>
      <c r="J228" s="1">
        <v>48.936999999999998</v>
      </c>
      <c r="K228" s="1">
        <v>812</v>
      </c>
      <c r="L228" s="1">
        <v>1.4E-2</v>
      </c>
      <c r="M228" s="1">
        <v>3.1149999999999998E-4</v>
      </c>
      <c r="N228" s="1">
        <v>0</v>
      </c>
    </row>
    <row r="229" spans="1:14">
      <c r="A229" s="1" t="s">
        <v>70</v>
      </c>
      <c r="B229" s="1" t="s">
        <v>122</v>
      </c>
      <c r="C229" s="1">
        <v>76</v>
      </c>
      <c r="D229" s="1" t="s">
        <v>121</v>
      </c>
      <c r="E229" s="1"/>
      <c r="F229" s="1"/>
      <c r="G229" s="1"/>
      <c r="H229" s="1">
        <v>3</v>
      </c>
      <c r="I229" s="1">
        <v>2745</v>
      </c>
      <c r="J229" s="1">
        <v>24.495000000000001</v>
      </c>
      <c r="K229" s="1">
        <v>1056</v>
      </c>
      <c r="L229" s="1">
        <v>8.9999999999999993E-3</v>
      </c>
      <c r="M229" s="1">
        <v>3.8989999999999999E-4</v>
      </c>
      <c r="N229" s="1">
        <v>251.529</v>
      </c>
    </row>
    <row r="230" spans="1:14">
      <c r="A230" s="1" t="s">
        <v>70</v>
      </c>
      <c r="B230" s="1" t="s">
        <v>123</v>
      </c>
      <c r="C230" s="1">
        <v>77</v>
      </c>
      <c r="D230" s="1" t="s">
        <v>124</v>
      </c>
      <c r="E230" s="1"/>
      <c r="F230" s="1"/>
      <c r="G230" s="1"/>
      <c r="H230" s="1">
        <v>1</v>
      </c>
      <c r="I230" s="1">
        <v>2629</v>
      </c>
      <c r="J230" s="1">
        <v>47.517000000000003</v>
      </c>
      <c r="K230" s="1">
        <v>814</v>
      </c>
      <c r="L230" s="1">
        <v>1.4E-2</v>
      </c>
      <c r="M230" s="1">
        <v>3.1199999999999999E-4</v>
      </c>
      <c r="N230" s="1">
        <v>1.472</v>
      </c>
    </row>
    <row r="231" spans="1:14">
      <c r="A231" s="1" t="s">
        <v>70</v>
      </c>
      <c r="B231" s="1" t="s">
        <v>123</v>
      </c>
      <c r="C231" s="1">
        <v>77</v>
      </c>
      <c r="D231" s="1" t="s">
        <v>124</v>
      </c>
      <c r="E231" s="1"/>
      <c r="F231" s="1"/>
      <c r="G231" s="1"/>
      <c r="H231" s="1">
        <v>2</v>
      </c>
      <c r="I231" s="1">
        <v>2630</v>
      </c>
      <c r="J231" s="1">
        <v>48.658999999999999</v>
      </c>
      <c r="K231" s="1">
        <v>813</v>
      </c>
      <c r="L231" s="1">
        <v>1.4E-2</v>
      </c>
      <c r="M231" s="1">
        <v>3.1149999999999998E-4</v>
      </c>
      <c r="N231" s="1">
        <v>0</v>
      </c>
    </row>
    <row r="232" spans="1:14">
      <c r="A232" s="1" t="s">
        <v>70</v>
      </c>
      <c r="B232" s="1" t="s">
        <v>123</v>
      </c>
      <c r="C232" s="1">
        <v>77</v>
      </c>
      <c r="D232" s="1" t="s">
        <v>124</v>
      </c>
      <c r="E232" s="1"/>
      <c r="F232" s="1"/>
      <c r="G232" s="1"/>
      <c r="H232" s="1">
        <v>3</v>
      </c>
      <c r="I232" s="1">
        <v>2818</v>
      </c>
      <c r="J232" s="1">
        <v>24.788</v>
      </c>
      <c r="K232" s="1">
        <v>1096</v>
      </c>
      <c r="L232" s="1">
        <v>8.9999999999999993E-3</v>
      </c>
      <c r="M232" s="1">
        <v>3.9409999999999998E-4</v>
      </c>
      <c r="N232" s="1">
        <v>265.11900000000003</v>
      </c>
    </row>
    <row r="233" spans="1:14">
      <c r="A233" s="1" t="s">
        <v>70</v>
      </c>
      <c r="B233" s="1" t="s">
        <v>125</v>
      </c>
      <c r="C233" s="1">
        <v>78</v>
      </c>
      <c r="D233" s="1" t="s">
        <v>124</v>
      </c>
      <c r="E233" s="1"/>
      <c r="F233" s="1"/>
      <c r="G233" s="1"/>
      <c r="H233" s="1">
        <v>1</v>
      </c>
      <c r="I233" s="1">
        <v>2635</v>
      </c>
      <c r="J233" s="1">
        <v>47.58</v>
      </c>
      <c r="K233" s="1">
        <v>815</v>
      </c>
      <c r="L233" s="1">
        <v>1.4E-2</v>
      </c>
      <c r="M233" s="1">
        <v>3.1159999999999998E-4</v>
      </c>
      <c r="N233" s="1">
        <v>0.28199999999999997</v>
      </c>
    </row>
    <row r="234" spans="1:14">
      <c r="A234" s="1" t="s">
        <v>70</v>
      </c>
      <c r="B234" s="1" t="s">
        <v>125</v>
      </c>
      <c r="C234" s="1">
        <v>78</v>
      </c>
      <c r="D234" s="1" t="s">
        <v>124</v>
      </c>
      <c r="E234" s="1"/>
      <c r="F234" s="1"/>
      <c r="G234" s="1"/>
      <c r="H234" s="1">
        <v>2</v>
      </c>
      <c r="I234" s="1">
        <v>2632</v>
      </c>
      <c r="J234" s="1">
        <v>48.710999999999999</v>
      </c>
      <c r="K234" s="1">
        <v>815</v>
      </c>
      <c r="L234" s="1">
        <v>1.4E-2</v>
      </c>
      <c r="M234" s="1">
        <v>3.1149999999999998E-4</v>
      </c>
      <c r="N234" s="1">
        <v>0</v>
      </c>
    </row>
    <row r="235" spans="1:14">
      <c r="A235" s="1" t="s">
        <v>70</v>
      </c>
      <c r="B235" s="1" t="s">
        <v>125</v>
      </c>
      <c r="C235" s="1">
        <v>78</v>
      </c>
      <c r="D235" s="1" t="s">
        <v>124</v>
      </c>
      <c r="E235" s="1"/>
      <c r="F235" s="1"/>
      <c r="G235" s="1"/>
      <c r="H235" s="1">
        <v>3</v>
      </c>
      <c r="I235" s="1">
        <v>2749</v>
      </c>
      <c r="J235" s="1">
        <v>24.597999999999999</v>
      </c>
      <c r="K235" s="1">
        <v>1069</v>
      </c>
      <c r="L235" s="1">
        <v>8.9999999999999993E-3</v>
      </c>
      <c r="M235" s="1">
        <v>3.9530000000000001E-4</v>
      </c>
      <c r="N235" s="1">
        <v>269.02699999999999</v>
      </c>
    </row>
    <row r="236" spans="1:14">
      <c r="A236" s="1" t="s">
        <v>70</v>
      </c>
      <c r="B236" s="1" t="s">
        <v>126</v>
      </c>
      <c r="C236" s="1">
        <v>79</v>
      </c>
      <c r="D236" s="1" t="s">
        <v>127</v>
      </c>
      <c r="E236" s="1"/>
      <c r="F236" s="1"/>
      <c r="G236" s="1"/>
      <c r="H236" s="1">
        <v>1</v>
      </c>
      <c r="I236" s="1">
        <v>2629</v>
      </c>
      <c r="J236" s="1">
        <v>47.555999999999997</v>
      </c>
      <c r="K236" s="1">
        <v>813</v>
      </c>
      <c r="L236" s="1">
        <v>1.4E-2</v>
      </c>
      <c r="M236" s="1">
        <v>3.1169999999999999E-4</v>
      </c>
      <c r="N236" s="1">
        <v>0.50700000000000001</v>
      </c>
    </row>
    <row r="237" spans="1:14">
      <c r="A237" s="1" t="s">
        <v>70</v>
      </c>
      <c r="B237" s="1" t="s">
        <v>126</v>
      </c>
      <c r="C237" s="1">
        <v>79</v>
      </c>
      <c r="D237" s="1" t="s">
        <v>127</v>
      </c>
      <c r="E237" s="1"/>
      <c r="F237" s="1"/>
      <c r="G237" s="1"/>
      <c r="H237" s="1">
        <v>2</v>
      </c>
      <c r="I237" s="1">
        <v>2629</v>
      </c>
      <c r="J237" s="1">
        <v>48.561999999999998</v>
      </c>
      <c r="K237" s="1">
        <v>812</v>
      </c>
      <c r="L237" s="1">
        <v>1.4E-2</v>
      </c>
      <c r="M237" s="1">
        <v>3.1149999999999998E-4</v>
      </c>
      <c r="N237" s="1">
        <v>0</v>
      </c>
    </row>
    <row r="238" spans="1:14">
      <c r="A238" s="1" t="s">
        <v>70</v>
      </c>
      <c r="B238" s="1" t="s">
        <v>126</v>
      </c>
      <c r="C238" s="1">
        <v>79</v>
      </c>
      <c r="D238" s="1" t="s">
        <v>127</v>
      </c>
      <c r="E238" s="1"/>
      <c r="F238" s="1"/>
      <c r="G238" s="1"/>
      <c r="H238" s="1">
        <v>3</v>
      </c>
      <c r="I238" s="1">
        <v>2823</v>
      </c>
      <c r="J238" s="1">
        <v>25.018000000000001</v>
      </c>
      <c r="K238" s="1">
        <v>1080</v>
      </c>
      <c r="L238" s="1">
        <v>8.9999999999999993E-3</v>
      </c>
      <c r="M238" s="1">
        <v>3.8709999999999998E-4</v>
      </c>
      <c r="N238" s="1">
        <v>242.71600000000001</v>
      </c>
    </row>
    <row r="239" spans="1:14">
      <c r="A239" s="1" t="s">
        <v>70</v>
      </c>
      <c r="B239" s="1" t="s">
        <v>128</v>
      </c>
      <c r="C239" s="1">
        <v>80</v>
      </c>
      <c r="D239" s="1" t="s">
        <v>127</v>
      </c>
      <c r="E239" s="1"/>
      <c r="F239" s="1"/>
      <c r="G239" s="1"/>
      <c r="H239" s="1">
        <v>1</v>
      </c>
      <c r="I239" s="1">
        <v>2631</v>
      </c>
      <c r="J239" s="1">
        <v>47.57</v>
      </c>
      <c r="K239" s="1">
        <v>816</v>
      </c>
      <c r="L239" s="1">
        <v>1.4E-2</v>
      </c>
      <c r="M239" s="1">
        <v>3.1159999999999998E-4</v>
      </c>
      <c r="N239" s="1">
        <v>0.16200000000000001</v>
      </c>
    </row>
    <row r="240" spans="1:14">
      <c r="A240" s="1" t="s">
        <v>70</v>
      </c>
      <c r="B240" s="1" t="s">
        <v>128</v>
      </c>
      <c r="C240" s="1">
        <v>80</v>
      </c>
      <c r="D240" s="1" t="s">
        <v>127</v>
      </c>
      <c r="E240" s="1"/>
      <c r="F240" s="1"/>
      <c r="G240" s="1"/>
      <c r="H240" s="1">
        <v>2</v>
      </c>
      <c r="I240" s="1">
        <v>2636</v>
      </c>
      <c r="J240" s="1">
        <v>48.710999999999999</v>
      </c>
      <c r="K240" s="1">
        <v>815</v>
      </c>
      <c r="L240" s="1">
        <v>1.4E-2</v>
      </c>
      <c r="M240" s="1">
        <v>3.1149999999999998E-4</v>
      </c>
      <c r="N240" s="1">
        <v>0</v>
      </c>
    </row>
    <row r="241" spans="1:14">
      <c r="A241" s="1" t="s">
        <v>70</v>
      </c>
      <c r="B241" s="1" t="s">
        <v>128</v>
      </c>
      <c r="C241" s="1">
        <v>80</v>
      </c>
      <c r="D241" s="1" t="s">
        <v>127</v>
      </c>
      <c r="E241" s="1"/>
      <c r="F241" s="1"/>
      <c r="G241" s="1"/>
      <c r="H241" s="1">
        <v>3</v>
      </c>
      <c r="I241" s="1">
        <v>2813</v>
      </c>
      <c r="J241" s="1">
        <v>25.155000000000001</v>
      </c>
      <c r="K241" s="1">
        <v>1075</v>
      </c>
      <c r="L241" s="1">
        <v>8.9999999999999993E-3</v>
      </c>
      <c r="M241" s="1">
        <v>3.8549999999999999E-4</v>
      </c>
      <c r="N241" s="1">
        <v>237.535</v>
      </c>
    </row>
    <row r="242" spans="1:14">
      <c r="A242" s="1" t="s">
        <v>70</v>
      </c>
      <c r="B242" s="1" t="s">
        <v>129</v>
      </c>
      <c r="C242" s="1">
        <v>81</v>
      </c>
      <c r="D242" s="1" t="s">
        <v>130</v>
      </c>
      <c r="E242" s="1"/>
      <c r="F242" s="1"/>
      <c r="G242" s="1"/>
      <c r="H242" s="1">
        <v>1</v>
      </c>
      <c r="I242" s="1">
        <v>2636</v>
      </c>
      <c r="J242" s="1">
        <v>47.603999999999999</v>
      </c>
      <c r="K242" s="1">
        <v>816</v>
      </c>
      <c r="L242" s="1">
        <v>1.4E-2</v>
      </c>
      <c r="M242" s="1">
        <v>3.1129999999999998E-4</v>
      </c>
      <c r="N242" s="1">
        <v>-0.751</v>
      </c>
    </row>
    <row r="243" spans="1:14">
      <c r="A243" s="1" t="s">
        <v>70</v>
      </c>
      <c r="B243" s="1" t="s">
        <v>129</v>
      </c>
      <c r="C243" s="1">
        <v>81</v>
      </c>
      <c r="D243" s="1" t="s">
        <v>130</v>
      </c>
      <c r="E243" s="1"/>
      <c r="F243" s="1"/>
      <c r="G243" s="1"/>
      <c r="H243" s="1">
        <v>2</v>
      </c>
      <c r="I243" s="1">
        <v>2635</v>
      </c>
      <c r="J243" s="1">
        <v>48.71</v>
      </c>
      <c r="K243" s="1">
        <v>816</v>
      </c>
      <c r="L243" s="1">
        <v>1.4E-2</v>
      </c>
      <c r="M243" s="1">
        <v>3.1149999999999998E-4</v>
      </c>
      <c r="N243" s="1">
        <v>0</v>
      </c>
    </row>
    <row r="244" spans="1:14">
      <c r="A244" s="1" t="s">
        <v>70</v>
      </c>
      <c r="B244" s="1" t="s">
        <v>129</v>
      </c>
      <c r="C244" s="1">
        <v>81</v>
      </c>
      <c r="D244" s="1" t="s">
        <v>130</v>
      </c>
      <c r="E244" s="1"/>
      <c r="F244" s="1"/>
      <c r="G244" s="1"/>
      <c r="H244" s="1">
        <v>3</v>
      </c>
      <c r="I244" s="1">
        <v>2840</v>
      </c>
      <c r="J244" s="1">
        <v>25.56</v>
      </c>
      <c r="K244" s="1">
        <v>1075</v>
      </c>
      <c r="L244" s="1">
        <v>8.9999999999999993E-3</v>
      </c>
      <c r="M244" s="1">
        <v>3.8160000000000001E-4</v>
      </c>
      <c r="N244" s="1">
        <v>224.952</v>
      </c>
    </row>
    <row r="245" spans="1:14">
      <c r="A245" s="1" t="s">
        <v>70</v>
      </c>
      <c r="B245" s="1" t="s">
        <v>131</v>
      </c>
      <c r="C245" s="1">
        <v>82</v>
      </c>
      <c r="D245" s="1" t="s">
        <v>130</v>
      </c>
      <c r="E245" s="1"/>
      <c r="F245" s="1"/>
      <c r="G245" s="1"/>
      <c r="H245" s="1">
        <v>1</v>
      </c>
      <c r="I245" s="1">
        <v>2631</v>
      </c>
      <c r="J245" s="1">
        <v>47.469000000000001</v>
      </c>
      <c r="K245" s="1">
        <v>813</v>
      </c>
      <c r="L245" s="1">
        <v>1.4E-2</v>
      </c>
      <c r="M245" s="1">
        <v>3.1139999999999998E-4</v>
      </c>
      <c r="N245" s="1">
        <v>-0.16200000000000001</v>
      </c>
    </row>
    <row r="246" spans="1:14">
      <c r="A246" s="1" t="s">
        <v>70</v>
      </c>
      <c r="B246" s="1" t="s">
        <v>131</v>
      </c>
      <c r="C246" s="1">
        <v>82</v>
      </c>
      <c r="D246" s="1" t="s">
        <v>130</v>
      </c>
      <c r="E246" s="1"/>
      <c r="F246" s="1"/>
      <c r="G246" s="1"/>
      <c r="H246" s="1">
        <v>2</v>
      </c>
      <c r="I246" s="1">
        <v>2629</v>
      </c>
      <c r="J246" s="1">
        <v>48.652999999999999</v>
      </c>
      <c r="K246" s="1">
        <v>813</v>
      </c>
      <c r="L246" s="1">
        <v>1.4E-2</v>
      </c>
      <c r="M246" s="1">
        <v>3.1149999999999998E-4</v>
      </c>
      <c r="N246" s="1">
        <v>0</v>
      </c>
    </row>
    <row r="247" spans="1:14">
      <c r="A247" s="1" t="s">
        <v>70</v>
      </c>
      <c r="B247" s="1" t="s">
        <v>131</v>
      </c>
      <c r="C247" s="1">
        <v>82</v>
      </c>
      <c r="D247" s="1" t="s">
        <v>130</v>
      </c>
      <c r="E247" s="1"/>
      <c r="F247" s="1"/>
      <c r="G247" s="1"/>
      <c r="H247" s="1">
        <v>3</v>
      </c>
      <c r="I247" s="1">
        <v>2824</v>
      </c>
      <c r="J247" s="1">
        <v>24.934000000000001</v>
      </c>
      <c r="K247" s="1">
        <v>1069</v>
      </c>
      <c r="L247" s="1">
        <v>8.9999999999999993E-3</v>
      </c>
      <c r="M247" s="1">
        <v>3.8220000000000002E-4</v>
      </c>
      <c r="N247" s="1">
        <v>227.011</v>
      </c>
    </row>
    <row r="248" spans="1:14">
      <c r="A248" s="1" t="s">
        <v>70</v>
      </c>
      <c r="B248" s="1" t="s">
        <v>132</v>
      </c>
      <c r="C248" s="1">
        <v>83</v>
      </c>
      <c r="D248" s="1" t="s">
        <v>20</v>
      </c>
      <c r="E248" s="1"/>
      <c r="F248" s="1"/>
      <c r="G248" s="1"/>
      <c r="H248" s="1">
        <v>1</v>
      </c>
      <c r="I248" s="1">
        <v>2633</v>
      </c>
      <c r="J248" s="1">
        <v>47.588999999999999</v>
      </c>
      <c r="K248" s="1">
        <v>815</v>
      </c>
      <c r="L248" s="1">
        <v>1.4E-2</v>
      </c>
      <c r="M248" s="1">
        <v>3.1139999999999998E-4</v>
      </c>
      <c r="N248" s="1">
        <v>-0.249</v>
      </c>
    </row>
    <row r="249" spans="1:14">
      <c r="A249" s="1" t="s">
        <v>70</v>
      </c>
      <c r="B249" s="1" t="s">
        <v>132</v>
      </c>
      <c r="C249" s="1">
        <v>83</v>
      </c>
      <c r="D249" s="1" t="s">
        <v>20</v>
      </c>
      <c r="E249" s="1"/>
      <c r="F249" s="1"/>
      <c r="G249" s="1"/>
      <c r="H249" s="1">
        <v>2</v>
      </c>
      <c r="I249" s="1">
        <v>2637</v>
      </c>
      <c r="J249" s="1">
        <v>48.762</v>
      </c>
      <c r="K249" s="1">
        <v>816</v>
      </c>
      <c r="L249" s="1">
        <v>1.4E-2</v>
      </c>
      <c r="M249" s="1">
        <v>3.1149999999999998E-4</v>
      </c>
      <c r="N249" s="1">
        <v>0</v>
      </c>
    </row>
    <row r="250" spans="1:14">
      <c r="A250" s="1" t="s">
        <v>70</v>
      </c>
      <c r="B250" s="1" t="s">
        <v>132</v>
      </c>
      <c r="C250" s="1">
        <v>83</v>
      </c>
      <c r="D250" s="1" t="s">
        <v>20</v>
      </c>
      <c r="E250" s="1"/>
      <c r="F250" s="1"/>
      <c r="G250" s="1"/>
      <c r="H250" s="1">
        <v>3</v>
      </c>
      <c r="I250" s="1">
        <v>2783</v>
      </c>
      <c r="J250" s="1">
        <v>24.497</v>
      </c>
      <c r="K250" s="1">
        <v>1038</v>
      </c>
      <c r="L250" s="1">
        <v>8.0000000000000002E-3</v>
      </c>
      <c r="M250" s="1">
        <v>3.7629999999999999E-4</v>
      </c>
      <c r="N250" s="1">
        <v>208.035</v>
      </c>
    </row>
    <row r="251" spans="1:14">
      <c r="A251" s="1" t="s">
        <v>70</v>
      </c>
      <c r="B251" s="1" t="s">
        <v>133</v>
      </c>
      <c r="C251" s="1">
        <v>84</v>
      </c>
      <c r="D251" s="1" t="s">
        <v>20</v>
      </c>
      <c r="E251" s="1"/>
      <c r="F251" s="1"/>
      <c r="G251" s="1"/>
      <c r="H251" s="1">
        <v>1</v>
      </c>
      <c r="I251" s="1">
        <v>2629</v>
      </c>
      <c r="J251" s="1">
        <v>47.811</v>
      </c>
      <c r="K251" s="1">
        <v>813</v>
      </c>
      <c r="L251" s="1">
        <v>1.4E-2</v>
      </c>
      <c r="M251" s="1">
        <v>3.1149999999999998E-4</v>
      </c>
      <c r="N251" s="1">
        <v>0.13800000000000001</v>
      </c>
    </row>
    <row r="252" spans="1:14">
      <c r="A252" s="1" t="s">
        <v>70</v>
      </c>
      <c r="B252" s="1" t="s">
        <v>133</v>
      </c>
      <c r="C252" s="1">
        <v>84</v>
      </c>
      <c r="D252" s="1" t="s">
        <v>20</v>
      </c>
      <c r="E252" s="1"/>
      <c r="F252" s="1"/>
      <c r="G252" s="1"/>
      <c r="H252" s="1">
        <v>2</v>
      </c>
      <c r="I252" s="1">
        <v>2630</v>
      </c>
      <c r="J252" s="1">
        <v>48.576999999999998</v>
      </c>
      <c r="K252" s="1">
        <v>813</v>
      </c>
      <c r="L252" s="1">
        <v>1.4E-2</v>
      </c>
      <c r="M252" s="1">
        <v>3.1149999999999998E-4</v>
      </c>
      <c r="N252" s="1">
        <v>0</v>
      </c>
    </row>
    <row r="253" spans="1:14">
      <c r="A253" s="1" t="s">
        <v>70</v>
      </c>
      <c r="B253" s="1" t="s">
        <v>133</v>
      </c>
      <c r="C253" s="1">
        <v>84</v>
      </c>
      <c r="D253" s="1" t="s">
        <v>20</v>
      </c>
      <c r="E253" s="1"/>
      <c r="F253" s="1"/>
      <c r="G253" s="1"/>
      <c r="H253" s="1">
        <v>3</v>
      </c>
      <c r="I253" s="1">
        <v>2853</v>
      </c>
      <c r="J253" s="1">
        <v>25.077999999999999</v>
      </c>
      <c r="K253" s="1">
        <v>1065</v>
      </c>
      <c r="L253" s="1">
        <v>8.9999999999999993E-3</v>
      </c>
      <c r="M253" s="1">
        <v>3.7639999999999999E-4</v>
      </c>
      <c r="N253" s="1">
        <v>208.45599999999999</v>
      </c>
    </row>
    <row r="254" spans="1:14">
      <c r="A254" s="1" t="s">
        <v>70</v>
      </c>
      <c r="B254" s="1" t="s">
        <v>134</v>
      </c>
      <c r="C254" s="1">
        <v>85</v>
      </c>
      <c r="D254" s="1" t="s">
        <v>135</v>
      </c>
      <c r="E254" s="1"/>
      <c r="F254" s="1"/>
      <c r="G254" s="1"/>
      <c r="H254" s="1">
        <v>1</v>
      </c>
      <c r="I254" s="1">
        <v>2631</v>
      </c>
      <c r="J254" s="1">
        <v>47.603999999999999</v>
      </c>
      <c r="K254" s="1">
        <v>814</v>
      </c>
      <c r="L254" s="1">
        <v>1.4E-2</v>
      </c>
      <c r="M254" s="1">
        <v>3.1139999999999998E-4</v>
      </c>
      <c r="N254" s="1">
        <v>-0.26500000000000001</v>
      </c>
    </row>
    <row r="255" spans="1:14">
      <c r="A255" s="1" t="s">
        <v>70</v>
      </c>
      <c r="B255" s="1" t="s">
        <v>134</v>
      </c>
      <c r="C255" s="1">
        <v>85</v>
      </c>
      <c r="D255" s="1" t="s">
        <v>135</v>
      </c>
      <c r="E255" s="1"/>
      <c r="F255" s="1"/>
      <c r="G255" s="1"/>
      <c r="H255" s="1">
        <v>2</v>
      </c>
      <c r="I255" s="1">
        <v>2631</v>
      </c>
      <c r="J255" s="1">
        <v>48.74</v>
      </c>
      <c r="K255" s="1">
        <v>814</v>
      </c>
      <c r="L255" s="1">
        <v>1.4E-2</v>
      </c>
      <c r="M255" s="1">
        <v>3.1149999999999998E-4</v>
      </c>
      <c r="N255" s="1">
        <v>0</v>
      </c>
    </row>
    <row r="256" spans="1:14">
      <c r="A256" s="1" t="s">
        <v>70</v>
      </c>
      <c r="B256" s="1" t="s">
        <v>134</v>
      </c>
      <c r="C256" s="1">
        <v>85</v>
      </c>
      <c r="D256" s="1" t="s">
        <v>135</v>
      </c>
      <c r="E256" s="1"/>
      <c r="F256" s="1"/>
      <c r="G256" s="1"/>
      <c r="H256" s="1">
        <v>3</v>
      </c>
      <c r="I256" s="1">
        <v>2868</v>
      </c>
      <c r="J256" s="1">
        <v>25.303999999999998</v>
      </c>
      <c r="K256" s="1">
        <v>1063</v>
      </c>
      <c r="L256" s="1">
        <v>8.9999999999999993E-3</v>
      </c>
      <c r="M256" s="1">
        <v>3.745E-4</v>
      </c>
      <c r="N256" s="1">
        <v>202.392</v>
      </c>
    </row>
    <row r="257" spans="1:14">
      <c r="A257" s="1" t="s">
        <v>70</v>
      </c>
      <c r="B257" s="1" t="s">
        <v>136</v>
      </c>
      <c r="C257" s="1">
        <v>86</v>
      </c>
      <c r="D257" s="1" t="s">
        <v>135</v>
      </c>
      <c r="E257" s="1"/>
      <c r="F257" s="1"/>
      <c r="G257" s="1"/>
      <c r="H257" s="1">
        <v>1</v>
      </c>
      <c r="I257" s="1">
        <v>2629</v>
      </c>
      <c r="J257" s="1">
        <v>47.573999999999998</v>
      </c>
      <c r="K257" s="1">
        <v>813</v>
      </c>
      <c r="L257" s="1">
        <v>1.4E-2</v>
      </c>
      <c r="M257" s="1">
        <v>3.121E-4</v>
      </c>
      <c r="N257" s="1">
        <v>1.923</v>
      </c>
    </row>
    <row r="258" spans="1:14">
      <c r="A258" s="1" t="s">
        <v>70</v>
      </c>
      <c r="B258" s="1" t="s">
        <v>136</v>
      </c>
      <c r="C258" s="1">
        <v>86</v>
      </c>
      <c r="D258" s="1" t="s">
        <v>135</v>
      </c>
      <c r="E258" s="1"/>
      <c r="F258" s="1"/>
      <c r="G258" s="1"/>
      <c r="H258" s="1">
        <v>2</v>
      </c>
      <c r="I258" s="1">
        <v>2628</v>
      </c>
      <c r="J258" s="1">
        <v>48.651000000000003</v>
      </c>
      <c r="K258" s="1">
        <v>813</v>
      </c>
      <c r="L258" s="1">
        <v>1.4E-2</v>
      </c>
      <c r="M258" s="1">
        <v>3.1149999999999998E-4</v>
      </c>
      <c r="N258" s="1">
        <v>0</v>
      </c>
    </row>
    <row r="259" spans="1:14">
      <c r="A259" s="1" t="s">
        <v>70</v>
      </c>
      <c r="B259" s="1" t="s">
        <v>136</v>
      </c>
      <c r="C259" s="1">
        <v>86</v>
      </c>
      <c r="D259" s="1" t="s">
        <v>135</v>
      </c>
      <c r="E259" s="1"/>
      <c r="F259" s="1"/>
      <c r="G259" s="1"/>
      <c r="H259" s="1">
        <v>3</v>
      </c>
      <c r="I259" s="1">
        <v>2957</v>
      </c>
      <c r="J259" s="1">
        <v>26.789000000000001</v>
      </c>
      <c r="K259" s="1">
        <v>1099</v>
      </c>
      <c r="L259" s="1">
        <v>8.9999999999999993E-3</v>
      </c>
      <c r="M259" s="1">
        <v>3.7359999999999997E-4</v>
      </c>
      <c r="N259" s="1">
        <v>199.46899999999999</v>
      </c>
    </row>
    <row r="260" spans="1:14">
      <c r="A260" s="1" t="s">
        <v>70</v>
      </c>
      <c r="B260" s="1" t="s">
        <v>137</v>
      </c>
      <c r="C260" s="1">
        <v>87</v>
      </c>
      <c r="D260" s="1" t="s">
        <v>138</v>
      </c>
      <c r="E260" s="1"/>
      <c r="F260" s="1"/>
      <c r="G260" s="1"/>
      <c r="H260" s="1">
        <v>1</v>
      </c>
      <c r="I260" s="1">
        <v>2632</v>
      </c>
      <c r="J260" s="1">
        <v>47.6</v>
      </c>
      <c r="K260" s="1">
        <v>814</v>
      </c>
      <c r="L260" s="1">
        <v>1.4E-2</v>
      </c>
      <c r="M260" s="1">
        <v>3.1129999999999998E-4</v>
      </c>
      <c r="N260" s="1">
        <v>-0.51700000000000002</v>
      </c>
    </row>
    <row r="261" spans="1:14">
      <c r="A261" s="1" t="s">
        <v>70</v>
      </c>
      <c r="B261" s="1" t="s">
        <v>137</v>
      </c>
      <c r="C261" s="1">
        <v>87</v>
      </c>
      <c r="D261" s="1" t="s">
        <v>138</v>
      </c>
      <c r="E261" s="1"/>
      <c r="F261" s="1"/>
      <c r="G261" s="1"/>
      <c r="H261" s="1">
        <v>2</v>
      </c>
      <c r="I261" s="1">
        <v>2630</v>
      </c>
      <c r="J261" s="1">
        <v>48.606000000000002</v>
      </c>
      <c r="K261" s="1">
        <v>814</v>
      </c>
      <c r="L261" s="1">
        <v>1.4E-2</v>
      </c>
      <c r="M261" s="1">
        <v>3.1149999999999998E-4</v>
      </c>
      <c r="N261" s="1">
        <v>0</v>
      </c>
    </row>
    <row r="262" spans="1:14">
      <c r="A262" s="1" t="s">
        <v>70</v>
      </c>
      <c r="B262" s="1" t="s">
        <v>137</v>
      </c>
      <c r="C262" s="1">
        <v>87</v>
      </c>
      <c r="D262" s="1" t="s">
        <v>138</v>
      </c>
      <c r="E262" s="1"/>
      <c r="F262" s="1"/>
      <c r="G262" s="1"/>
      <c r="H262" s="1">
        <v>3</v>
      </c>
      <c r="I262" s="1">
        <v>2705</v>
      </c>
      <c r="J262" s="1">
        <v>24.222000000000001</v>
      </c>
      <c r="K262" s="1">
        <v>1009</v>
      </c>
      <c r="L262" s="1">
        <v>8.0000000000000002E-3</v>
      </c>
      <c r="M262" s="1">
        <v>3.7800000000000003E-4</v>
      </c>
      <c r="N262" s="1">
        <v>213.63</v>
      </c>
    </row>
    <row r="263" spans="1:14">
      <c r="A263" s="1" t="s">
        <v>70</v>
      </c>
      <c r="B263" s="1" t="s">
        <v>139</v>
      </c>
      <c r="C263" s="1">
        <v>88</v>
      </c>
      <c r="D263" s="1" t="s">
        <v>138</v>
      </c>
      <c r="E263" s="1"/>
      <c r="F263" s="1"/>
      <c r="G263" s="1"/>
      <c r="H263" s="1">
        <v>1</v>
      </c>
      <c r="I263" s="1">
        <v>2635</v>
      </c>
      <c r="J263" s="1">
        <v>47.59</v>
      </c>
      <c r="K263" s="1">
        <v>815</v>
      </c>
      <c r="L263" s="1">
        <v>1.4E-2</v>
      </c>
      <c r="M263" s="1">
        <v>3.1129999999999998E-4</v>
      </c>
      <c r="N263" s="1">
        <v>-0.61299999999999999</v>
      </c>
    </row>
    <row r="264" spans="1:14">
      <c r="A264" s="1" t="s">
        <v>70</v>
      </c>
      <c r="B264" s="1" t="s">
        <v>139</v>
      </c>
      <c r="C264" s="1">
        <v>88</v>
      </c>
      <c r="D264" s="1" t="s">
        <v>138</v>
      </c>
      <c r="E264" s="1"/>
      <c r="F264" s="1"/>
      <c r="G264" s="1"/>
      <c r="H264" s="1">
        <v>2</v>
      </c>
      <c r="I264" s="1">
        <v>2634</v>
      </c>
      <c r="J264" s="1">
        <v>48.682000000000002</v>
      </c>
      <c r="K264" s="1">
        <v>815</v>
      </c>
      <c r="L264" s="1">
        <v>1.4E-2</v>
      </c>
      <c r="M264" s="1">
        <v>3.1149999999999998E-4</v>
      </c>
      <c r="N264" s="1">
        <v>0</v>
      </c>
    </row>
    <row r="265" spans="1:14">
      <c r="A265" s="1" t="s">
        <v>70</v>
      </c>
      <c r="B265" s="1" t="s">
        <v>139</v>
      </c>
      <c r="C265" s="1">
        <v>88</v>
      </c>
      <c r="D265" s="1" t="s">
        <v>138</v>
      </c>
      <c r="E265" s="1"/>
      <c r="F265" s="1"/>
      <c r="G265" s="1"/>
      <c r="H265" s="1">
        <v>3</v>
      </c>
      <c r="I265" s="1">
        <v>2709</v>
      </c>
      <c r="J265" s="1">
        <v>24.427</v>
      </c>
      <c r="K265" s="1">
        <v>1011</v>
      </c>
      <c r="L265" s="1">
        <v>8.0000000000000002E-3</v>
      </c>
      <c r="M265" s="1">
        <v>3.7750000000000001E-4</v>
      </c>
      <c r="N265" s="1">
        <v>211.81700000000001</v>
      </c>
    </row>
    <row r="266" spans="1:14">
      <c r="A266" s="1" t="s">
        <v>70</v>
      </c>
      <c r="B266" s="1" t="s">
        <v>140</v>
      </c>
      <c r="C266" s="1">
        <v>89</v>
      </c>
      <c r="D266" s="1" t="s">
        <v>141</v>
      </c>
      <c r="E266" s="1"/>
      <c r="F266" s="1"/>
      <c r="G266" s="1"/>
      <c r="H266" s="1">
        <v>1</v>
      </c>
      <c r="I266" s="1">
        <v>2631</v>
      </c>
      <c r="J266" s="1">
        <v>47.74</v>
      </c>
      <c r="K266" s="1">
        <v>814</v>
      </c>
      <c r="L266" s="1">
        <v>1.4E-2</v>
      </c>
      <c r="M266" s="1">
        <v>3.1139999999999998E-4</v>
      </c>
      <c r="N266" s="1">
        <v>-0.19</v>
      </c>
    </row>
    <row r="267" spans="1:14">
      <c r="A267" s="1" t="s">
        <v>70</v>
      </c>
      <c r="B267" s="1" t="s">
        <v>140</v>
      </c>
      <c r="C267" s="1">
        <v>89</v>
      </c>
      <c r="D267" s="1" t="s">
        <v>141</v>
      </c>
      <c r="E267" s="1"/>
      <c r="F267" s="1"/>
      <c r="G267" s="1"/>
      <c r="H267" s="1">
        <v>2</v>
      </c>
      <c r="I267" s="1">
        <v>2630</v>
      </c>
      <c r="J267" s="1">
        <v>48.726999999999997</v>
      </c>
      <c r="K267" s="1">
        <v>814</v>
      </c>
      <c r="L267" s="1">
        <v>1.4E-2</v>
      </c>
      <c r="M267" s="1">
        <v>3.1149999999999998E-4</v>
      </c>
      <c r="N267" s="1">
        <v>0</v>
      </c>
    </row>
    <row r="268" spans="1:14">
      <c r="A268" s="1" t="s">
        <v>70</v>
      </c>
      <c r="B268" s="1" t="s">
        <v>140</v>
      </c>
      <c r="C268" s="1">
        <v>89</v>
      </c>
      <c r="D268" s="1" t="s">
        <v>141</v>
      </c>
      <c r="E268" s="1"/>
      <c r="F268" s="1"/>
      <c r="G268" s="1"/>
      <c r="H268" s="1">
        <v>3</v>
      </c>
      <c r="I268" s="1">
        <v>2798</v>
      </c>
      <c r="J268" s="1">
        <v>24.609000000000002</v>
      </c>
      <c r="K268" s="1">
        <v>992</v>
      </c>
      <c r="L268" s="1">
        <v>8.0000000000000002E-3</v>
      </c>
      <c r="M268" s="1">
        <v>3.5649999999999999E-4</v>
      </c>
      <c r="N268" s="1">
        <v>144.554</v>
      </c>
    </row>
    <row r="269" spans="1:14">
      <c r="A269" s="1" t="s">
        <v>70</v>
      </c>
      <c r="B269" s="1" t="s">
        <v>142</v>
      </c>
      <c r="C269" s="1">
        <v>90</v>
      </c>
      <c r="D269" s="1" t="s">
        <v>141</v>
      </c>
      <c r="E269" s="1"/>
      <c r="F269" s="1"/>
      <c r="G269" s="1"/>
      <c r="H269" s="1">
        <v>1</v>
      </c>
      <c r="I269" s="1">
        <v>2634</v>
      </c>
      <c r="J269" s="1">
        <v>47.878</v>
      </c>
      <c r="K269" s="1">
        <v>815</v>
      </c>
      <c r="L269" s="1">
        <v>1.4E-2</v>
      </c>
      <c r="M269" s="1">
        <v>3.1169999999999999E-4</v>
      </c>
      <c r="N269" s="1">
        <v>0.56699999999999995</v>
      </c>
    </row>
    <row r="270" spans="1:14">
      <c r="A270" s="1" t="s">
        <v>70</v>
      </c>
      <c r="B270" s="1" t="s">
        <v>142</v>
      </c>
      <c r="C270" s="1">
        <v>90</v>
      </c>
      <c r="D270" s="1" t="s">
        <v>141</v>
      </c>
      <c r="E270" s="1"/>
      <c r="F270" s="1"/>
      <c r="G270" s="1"/>
      <c r="H270" s="1">
        <v>2</v>
      </c>
      <c r="I270" s="1">
        <v>2634</v>
      </c>
      <c r="J270" s="1">
        <v>48.746000000000002</v>
      </c>
      <c r="K270" s="1">
        <v>816</v>
      </c>
      <c r="L270" s="1">
        <v>1.4E-2</v>
      </c>
      <c r="M270" s="1">
        <v>3.1149999999999998E-4</v>
      </c>
      <c r="N270" s="1">
        <v>0</v>
      </c>
    </row>
    <row r="271" spans="1:14">
      <c r="A271" s="1" t="s">
        <v>70</v>
      </c>
      <c r="B271" s="1" t="s">
        <v>142</v>
      </c>
      <c r="C271" s="1">
        <v>90</v>
      </c>
      <c r="D271" s="1" t="s">
        <v>141</v>
      </c>
      <c r="E271" s="1"/>
      <c r="F271" s="1"/>
      <c r="G271" s="1"/>
      <c r="H271" s="1">
        <v>3</v>
      </c>
      <c r="I271" s="1">
        <v>2791</v>
      </c>
      <c r="J271" s="1">
        <v>25.013999999999999</v>
      </c>
      <c r="K271" s="1">
        <v>989</v>
      </c>
      <c r="L271" s="1">
        <v>8.0000000000000002E-3</v>
      </c>
      <c r="M271" s="1">
        <v>3.5589999999999998E-4</v>
      </c>
      <c r="N271" s="1">
        <v>142.68299999999999</v>
      </c>
    </row>
    <row r="272" spans="1:14">
      <c r="A272" s="1" t="s">
        <v>70</v>
      </c>
      <c r="B272" s="1" t="s">
        <v>143</v>
      </c>
      <c r="C272" s="1">
        <v>91</v>
      </c>
      <c r="D272" s="1" t="s">
        <v>144</v>
      </c>
      <c r="E272" s="1"/>
      <c r="F272" s="1"/>
      <c r="G272" s="1"/>
      <c r="H272" s="1">
        <v>1</v>
      </c>
      <c r="I272" s="1">
        <v>2639</v>
      </c>
      <c r="J272" s="1">
        <v>47.741999999999997</v>
      </c>
      <c r="K272" s="1">
        <v>817</v>
      </c>
      <c r="L272" s="1">
        <v>1.4E-2</v>
      </c>
      <c r="M272" s="1">
        <v>3.1169999999999999E-4</v>
      </c>
      <c r="N272" s="1">
        <v>0.60299999999999998</v>
      </c>
    </row>
    <row r="273" spans="1:14">
      <c r="A273" s="1" t="s">
        <v>70</v>
      </c>
      <c r="B273" s="1" t="s">
        <v>143</v>
      </c>
      <c r="C273" s="1">
        <v>91</v>
      </c>
      <c r="D273" s="1" t="s">
        <v>144</v>
      </c>
      <c r="E273" s="1"/>
      <c r="F273" s="1"/>
      <c r="G273" s="1"/>
      <c r="H273" s="1">
        <v>2</v>
      </c>
      <c r="I273" s="1">
        <v>2638</v>
      </c>
      <c r="J273" s="1">
        <v>48.884999999999998</v>
      </c>
      <c r="K273" s="1">
        <v>816</v>
      </c>
      <c r="L273" s="1">
        <v>1.4E-2</v>
      </c>
      <c r="M273" s="1">
        <v>3.1149999999999998E-4</v>
      </c>
      <c r="N273" s="1">
        <v>0</v>
      </c>
    </row>
    <row r="274" spans="1:14">
      <c r="A274" s="1" t="s">
        <v>70</v>
      </c>
      <c r="B274" s="1" t="s">
        <v>143</v>
      </c>
      <c r="C274" s="1">
        <v>91</v>
      </c>
      <c r="D274" s="1" t="s">
        <v>144</v>
      </c>
      <c r="E274" s="1"/>
      <c r="F274" s="1"/>
      <c r="G274" s="1"/>
      <c r="H274" s="1">
        <v>3</v>
      </c>
      <c r="I274" s="1">
        <v>2773</v>
      </c>
      <c r="J274" s="1">
        <v>25.068000000000001</v>
      </c>
      <c r="K274" s="1">
        <v>995</v>
      </c>
      <c r="L274" s="1">
        <v>8.0000000000000002E-3</v>
      </c>
      <c r="M274" s="1">
        <v>3.6160000000000001E-4</v>
      </c>
      <c r="N274" s="1">
        <v>160.869</v>
      </c>
    </row>
    <row r="275" spans="1:14">
      <c r="A275" s="1" t="s">
        <v>70</v>
      </c>
      <c r="B275" s="1" t="s">
        <v>145</v>
      </c>
      <c r="C275" s="1">
        <v>92</v>
      </c>
      <c r="D275" s="1" t="s">
        <v>144</v>
      </c>
      <c r="E275" s="1"/>
      <c r="F275" s="1"/>
      <c r="G275" s="1"/>
      <c r="H275" s="1">
        <v>1</v>
      </c>
      <c r="I275" s="1">
        <v>2630</v>
      </c>
      <c r="J275" s="1">
        <v>47.432000000000002</v>
      </c>
      <c r="K275" s="1">
        <v>813</v>
      </c>
      <c r="L275" s="1">
        <v>1.4E-2</v>
      </c>
      <c r="M275" s="1">
        <v>3.1139999999999998E-4</v>
      </c>
      <c r="N275" s="1">
        <v>-0.19900000000000001</v>
      </c>
    </row>
    <row r="276" spans="1:14">
      <c r="A276" s="1" t="s">
        <v>70</v>
      </c>
      <c r="B276" s="1" t="s">
        <v>145</v>
      </c>
      <c r="C276" s="1">
        <v>92</v>
      </c>
      <c r="D276" s="1" t="s">
        <v>144</v>
      </c>
      <c r="E276" s="1"/>
      <c r="F276" s="1"/>
      <c r="G276" s="1"/>
      <c r="H276" s="1">
        <v>2</v>
      </c>
      <c r="I276" s="1">
        <v>2630</v>
      </c>
      <c r="J276" s="1">
        <v>48.597999999999999</v>
      </c>
      <c r="K276" s="1">
        <v>814</v>
      </c>
      <c r="L276" s="1">
        <v>1.4E-2</v>
      </c>
      <c r="M276" s="1">
        <v>3.1149999999999998E-4</v>
      </c>
      <c r="N276" s="1">
        <v>0</v>
      </c>
    </row>
    <row r="277" spans="1:14">
      <c r="A277" s="1" t="s">
        <v>70</v>
      </c>
      <c r="B277" s="1" t="s">
        <v>145</v>
      </c>
      <c r="C277" s="1">
        <v>92</v>
      </c>
      <c r="D277" s="1" t="s">
        <v>144</v>
      </c>
      <c r="E277" s="1"/>
      <c r="F277" s="1"/>
      <c r="G277" s="1"/>
      <c r="H277" s="1">
        <v>3</v>
      </c>
      <c r="I277" s="1">
        <v>2732</v>
      </c>
      <c r="J277" s="1">
        <v>24.001000000000001</v>
      </c>
      <c r="K277" s="1">
        <v>980</v>
      </c>
      <c r="L277" s="1">
        <v>8.0000000000000002E-3</v>
      </c>
      <c r="M277" s="1">
        <v>3.6170000000000001E-4</v>
      </c>
      <c r="N277" s="1">
        <v>161.03800000000001</v>
      </c>
    </row>
    <row r="278" spans="1:14">
      <c r="A278" s="1" t="s">
        <v>70</v>
      </c>
      <c r="B278" s="1" t="s">
        <v>146</v>
      </c>
      <c r="C278" s="1">
        <v>93</v>
      </c>
      <c r="D278" s="1" t="s">
        <v>147</v>
      </c>
      <c r="E278" s="1"/>
      <c r="F278" s="1"/>
      <c r="G278" s="1"/>
      <c r="H278" s="1">
        <v>1</v>
      </c>
      <c r="I278" s="1">
        <v>2631</v>
      </c>
      <c r="J278" s="1">
        <v>47.646000000000001</v>
      </c>
      <c r="K278" s="1">
        <v>814</v>
      </c>
      <c r="L278" s="1">
        <v>1.4E-2</v>
      </c>
      <c r="M278" s="1">
        <v>3.1159999999999998E-4</v>
      </c>
      <c r="N278" s="1">
        <v>0.16800000000000001</v>
      </c>
    </row>
    <row r="279" spans="1:14">
      <c r="A279" s="1" t="s">
        <v>70</v>
      </c>
      <c r="B279" s="1" t="s">
        <v>146</v>
      </c>
      <c r="C279" s="1">
        <v>93</v>
      </c>
      <c r="D279" s="1" t="s">
        <v>147</v>
      </c>
      <c r="E279" s="1"/>
      <c r="F279" s="1"/>
      <c r="G279" s="1"/>
      <c r="H279" s="1">
        <v>2</v>
      </c>
      <c r="I279" s="1">
        <v>2631</v>
      </c>
      <c r="J279" s="1">
        <v>48.637999999999998</v>
      </c>
      <c r="K279" s="1">
        <v>814</v>
      </c>
      <c r="L279" s="1">
        <v>1.4E-2</v>
      </c>
      <c r="M279" s="1">
        <v>3.1149999999999998E-4</v>
      </c>
      <c r="N279" s="1">
        <v>0</v>
      </c>
    </row>
    <row r="280" spans="1:14">
      <c r="A280" s="1" t="s">
        <v>70</v>
      </c>
      <c r="B280" s="1" t="s">
        <v>146</v>
      </c>
      <c r="C280" s="1">
        <v>93</v>
      </c>
      <c r="D280" s="1" t="s">
        <v>147</v>
      </c>
      <c r="E280" s="1"/>
      <c r="F280" s="1"/>
      <c r="G280" s="1"/>
      <c r="H280" s="1">
        <v>3</v>
      </c>
      <c r="I280" s="1">
        <v>2758</v>
      </c>
      <c r="J280" s="1">
        <v>24.719000000000001</v>
      </c>
      <c r="K280" s="1">
        <v>1016</v>
      </c>
      <c r="L280" s="1">
        <v>8.0000000000000002E-3</v>
      </c>
      <c r="M280" s="1">
        <v>3.7080000000000001E-4</v>
      </c>
      <c r="N280" s="1">
        <v>190.273</v>
      </c>
    </row>
    <row r="281" spans="1:14">
      <c r="A281" s="1" t="s">
        <v>70</v>
      </c>
      <c r="B281" s="1" t="s">
        <v>148</v>
      </c>
      <c r="C281" s="1">
        <v>94</v>
      </c>
      <c r="D281" s="1" t="s">
        <v>147</v>
      </c>
      <c r="E281" s="1"/>
      <c r="F281" s="1"/>
      <c r="G281" s="1"/>
      <c r="H281" s="1">
        <v>1</v>
      </c>
      <c r="I281" s="1">
        <v>2627</v>
      </c>
      <c r="J281" s="1">
        <v>47.512</v>
      </c>
      <c r="K281" s="1">
        <v>812</v>
      </c>
      <c r="L281" s="1">
        <v>1.4E-2</v>
      </c>
      <c r="M281" s="1">
        <v>3.1090000000000002E-4</v>
      </c>
      <c r="N281" s="1">
        <v>-1.8</v>
      </c>
    </row>
    <row r="282" spans="1:14">
      <c r="A282" s="1" t="s">
        <v>70</v>
      </c>
      <c r="B282" s="1" t="s">
        <v>148</v>
      </c>
      <c r="C282" s="1">
        <v>94</v>
      </c>
      <c r="D282" s="1" t="s">
        <v>147</v>
      </c>
      <c r="E282" s="1"/>
      <c r="F282" s="1"/>
      <c r="G282" s="1"/>
      <c r="H282" s="1">
        <v>2</v>
      </c>
      <c r="I282" s="1">
        <v>2629</v>
      </c>
      <c r="J282" s="1">
        <v>48.677</v>
      </c>
      <c r="K282" s="1">
        <v>814</v>
      </c>
      <c r="L282" s="1">
        <v>1.4E-2</v>
      </c>
      <c r="M282" s="1">
        <v>3.1149999999999998E-4</v>
      </c>
      <c r="N282" s="1">
        <v>0</v>
      </c>
    </row>
    <row r="283" spans="1:14">
      <c r="A283" s="1" t="s">
        <v>70</v>
      </c>
      <c r="B283" s="1" t="s">
        <v>148</v>
      </c>
      <c r="C283" s="1">
        <v>94</v>
      </c>
      <c r="D283" s="1" t="s">
        <v>147</v>
      </c>
      <c r="E283" s="1"/>
      <c r="F283" s="1"/>
      <c r="G283" s="1"/>
      <c r="H283" s="1">
        <v>3</v>
      </c>
      <c r="I283" s="1">
        <v>2797</v>
      </c>
      <c r="J283" s="1">
        <v>25.196999999999999</v>
      </c>
      <c r="K283" s="1">
        <v>1031</v>
      </c>
      <c r="L283" s="1">
        <v>8.9999999999999993E-3</v>
      </c>
      <c r="M283" s="1">
        <v>3.7130000000000003E-4</v>
      </c>
      <c r="N283" s="1">
        <v>192.10400000000001</v>
      </c>
    </row>
    <row r="284" spans="1:14">
      <c r="A284" s="1" t="s">
        <v>70</v>
      </c>
      <c r="B284" s="1" t="s">
        <v>149</v>
      </c>
      <c r="C284" s="1">
        <v>95</v>
      </c>
      <c r="D284" s="1" t="s">
        <v>20</v>
      </c>
      <c r="E284" s="1"/>
      <c r="F284" s="1"/>
      <c r="G284" s="1"/>
      <c r="H284" s="1">
        <v>1</v>
      </c>
      <c r="I284" s="1">
        <v>2629</v>
      </c>
      <c r="J284" s="1">
        <v>47.567</v>
      </c>
      <c r="K284" s="1">
        <v>813</v>
      </c>
      <c r="L284" s="1">
        <v>1.4E-2</v>
      </c>
      <c r="M284" s="1">
        <v>3.1189999999999999E-4</v>
      </c>
      <c r="N284" s="1">
        <v>1.264</v>
      </c>
    </row>
    <row r="285" spans="1:14">
      <c r="A285" s="1" t="s">
        <v>70</v>
      </c>
      <c r="B285" s="1" t="s">
        <v>149</v>
      </c>
      <c r="C285" s="1">
        <v>95</v>
      </c>
      <c r="D285" s="1" t="s">
        <v>20</v>
      </c>
      <c r="E285" s="1"/>
      <c r="F285" s="1"/>
      <c r="G285" s="1"/>
      <c r="H285" s="1">
        <v>2</v>
      </c>
      <c r="I285" s="1">
        <v>2630</v>
      </c>
      <c r="J285" s="1">
        <v>48.662999999999997</v>
      </c>
      <c r="K285" s="1">
        <v>813</v>
      </c>
      <c r="L285" s="1">
        <v>1.4E-2</v>
      </c>
      <c r="M285" s="1">
        <v>3.1149999999999998E-4</v>
      </c>
      <c r="N285" s="1">
        <v>0</v>
      </c>
    </row>
    <row r="286" spans="1:14">
      <c r="A286" s="1" t="s">
        <v>70</v>
      </c>
      <c r="B286" s="1" t="s">
        <v>149</v>
      </c>
      <c r="C286" s="1">
        <v>95</v>
      </c>
      <c r="D286" s="1" t="s">
        <v>20</v>
      </c>
      <c r="E286" s="1"/>
      <c r="F286" s="1"/>
      <c r="G286" s="1"/>
      <c r="H286" s="1">
        <v>3</v>
      </c>
      <c r="I286" s="1">
        <v>2778</v>
      </c>
      <c r="J286" s="1">
        <v>24.744</v>
      </c>
      <c r="K286" s="1">
        <v>1034</v>
      </c>
      <c r="L286" s="1">
        <v>8.9999999999999993E-3</v>
      </c>
      <c r="M286" s="1">
        <v>3.7579999999999997E-4</v>
      </c>
      <c r="N286" s="1">
        <v>206.47499999999999</v>
      </c>
    </row>
    <row r="287" spans="1:14">
      <c r="A287" s="1" t="s">
        <v>70</v>
      </c>
      <c r="B287" s="1" t="s">
        <v>150</v>
      </c>
      <c r="C287" s="1">
        <v>96</v>
      </c>
      <c r="D287" s="1" t="s">
        <v>20</v>
      </c>
      <c r="E287" s="1"/>
      <c r="F287" s="1"/>
      <c r="G287" s="1"/>
      <c r="H287" s="1">
        <v>1</v>
      </c>
      <c r="I287" s="1">
        <v>2632</v>
      </c>
      <c r="J287" s="1">
        <v>48.002000000000002</v>
      </c>
      <c r="K287" s="1">
        <v>814</v>
      </c>
      <c r="L287" s="1">
        <v>1.4E-2</v>
      </c>
      <c r="M287" s="1">
        <v>3.1129999999999998E-4</v>
      </c>
      <c r="N287" s="1">
        <v>-0.61699999999999999</v>
      </c>
    </row>
    <row r="288" spans="1:14">
      <c r="A288" s="1" t="s">
        <v>70</v>
      </c>
      <c r="B288" s="1" t="s">
        <v>150</v>
      </c>
      <c r="C288" s="1">
        <v>96</v>
      </c>
      <c r="D288" s="1" t="s">
        <v>20</v>
      </c>
      <c r="E288" s="1"/>
      <c r="F288" s="1"/>
      <c r="G288" s="1"/>
      <c r="H288" s="1">
        <v>2</v>
      </c>
      <c r="I288" s="1">
        <v>2636</v>
      </c>
      <c r="J288" s="1">
        <v>48.847999999999999</v>
      </c>
      <c r="K288" s="1">
        <v>815</v>
      </c>
      <c r="L288" s="1">
        <v>1.4E-2</v>
      </c>
      <c r="M288" s="1">
        <v>3.1149999999999998E-4</v>
      </c>
      <c r="N288" s="1">
        <v>0</v>
      </c>
    </row>
    <row r="289" spans="1:14">
      <c r="A289" s="1" t="s">
        <v>70</v>
      </c>
      <c r="B289" s="1" t="s">
        <v>150</v>
      </c>
      <c r="C289" s="1">
        <v>96</v>
      </c>
      <c r="D289" s="1" t="s">
        <v>20</v>
      </c>
      <c r="E289" s="1"/>
      <c r="F289" s="1"/>
      <c r="G289" s="1"/>
      <c r="H289" s="1">
        <v>3</v>
      </c>
      <c r="I289" s="1">
        <v>2806</v>
      </c>
      <c r="J289" s="1">
        <v>25.274999999999999</v>
      </c>
      <c r="K289" s="1">
        <v>1046</v>
      </c>
      <c r="L289" s="1">
        <v>8.9999999999999993E-3</v>
      </c>
      <c r="M289" s="1">
        <v>3.7570000000000002E-4</v>
      </c>
      <c r="N289" s="1">
        <v>206.227</v>
      </c>
    </row>
    <row r="290" spans="1:14">
      <c r="A290" s="1" t="s">
        <v>70</v>
      </c>
      <c r="B290" s="1" t="s">
        <v>151</v>
      </c>
      <c r="C290" s="1">
        <v>97</v>
      </c>
      <c r="D290" s="1" t="s">
        <v>152</v>
      </c>
      <c r="E290" s="1"/>
      <c r="F290" s="1"/>
      <c r="G290" s="1"/>
      <c r="H290" s="1">
        <v>1</v>
      </c>
      <c r="I290" s="1">
        <v>2625</v>
      </c>
      <c r="J290" s="1">
        <v>47.423999999999999</v>
      </c>
      <c r="K290" s="1">
        <v>812</v>
      </c>
      <c r="L290" s="1">
        <v>1.4E-2</v>
      </c>
      <c r="M290" s="1">
        <v>3.1149999999999998E-4</v>
      </c>
      <c r="N290" s="1">
        <v>0.14000000000000001</v>
      </c>
    </row>
    <row r="291" spans="1:14">
      <c r="A291" s="1" t="s">
        <v>70</v>
      </c>
      <c r="B291" s="1" t="s">
        <v>151</v>
      </c>
      <c r="C291" s="1">
        <v>97</v>
      </c>
      <c r="D291" s="1" t="s">
        <v>152</v>
      </c>
      <c r="E291" s="1"/>
      <c r="F291" s="1"/>
      <c r="G291" s="1"/>
      <c r="H291" s="1">
        <v>2</v>
      </c>
      <c r="I291" s="1">
        <v>2623</v>
      </c>
      <c r="J291" s="1">
        <v>48.534999999999997</v>
      </c>
      <c r="K291" s="1">
        <v>811</v>
      </c>
      <c r="L291" s="1">
        <v>1.4E-2</v>
      </c>
      <c r="M291" s="1">
        <v>3.1149999999999998E-4</v>
      </c>
      <c r="N291" s="1">
        <v>0</v>
      </c>
    </row>
    <row r="292" spans="1:14">
      <c r="A292" s="1" t="s">
        <v>70</v>
      </c>
      <c r="B292" s="1" t="s">
        <v>151</v>
      </c>
      <c r="C292" s="1">
        <v>97</v>
      </c>
      <c r="D292" s="1" t="s">
        <v>152</v>
      </c>
      <c r="E292" s="1"/>
      <c r="F292" s="1"/>
      <c r="G292" s="1"/>
      <c r="H292" s="1">
        <v>3</v>
      </c>
      <c r="I292" s="1">
        <v>2760</v>
      </c>
      <c r="J292" s="1">
        <v>24.994</v>
      </c>
      <c r="K292" s="1">
        <v>1033</v>
      </c>
      <c r="L292" s="1">
        <v>8.9999999999999993E-3</v>
      </c>
      <c r="M292" s="1">
        <v>3.79E-4</v>
      </c>
      <c r="N292" s="1">
        <v>216.63900000000001</v>
      </c>
    </row>
    <row r="293" spans="1:14">
      <c r="A293" s="1" t="s">
        <v>70</v>
      </c>
      <c r="B293" s="1" t="s">
        <v>153</v>
      </c>
      <c r="C293" s="1">
        <v>98</v>
      </c>
      <c r="D293" s="1" t="s">
        <v>152</v>
      </c>
      <c r="E293" s="1"/>
      <c r="F293" s="1"/>
      <c r="G293" s="1"/>
      <c r="H293" s="1">
        <v>1</v>
      </c>
      <c r="I293" s="1">
        <v>2628</v>
      </c>
      <c r="J293" s="1">
        <v>47.576000000000001</v>
      </c>
      <c r="K293" s="1">
        <v>812</v>
      </c>
      <c r="L293" s="1">
        <v>1.4E-2</v>
      </c>
      <c r="M293" s="1">
        <v>3.1159999999999998E-4</v>
      </c>
      <c r="N293" s="1">
        <v>0.45</v>
      </c>
    </row>
    <row r="294" spans="1:14">
      <c r="A294" s="1" t="s">
        <v>70</v>
      </c>
      <c r="B294" s="1" t="s">
        <v>153</v>
      </c>
      <c r="C294" s="1">
        <v>98</v>
      </c>
      <c r="D294" s="1" t="s">
        <v>152</v>
      </c>
      <c r="E294" s="1"/>
      <c r="F294" s="1"/>
      <c r="G294" s="1"/>
      <c r="H294" s="1">
        <v>2</v>
      </c>
      <c r="I294" s="1">
        <v>2628</v>
      </c>
      <c r="J294" s="1">
        <v>48.604999999999997</v>
      </c>
      <c r="K294" s="1">
        <v>812</v>
      </c>
      <c r="L294" s="1">
        <v>1.4E-2</v>
      </c>
      <c r="M294" s="1">
        <v>3.1149999999999998E-4</v>
      </c>
      <c r="N294" s="1">
        <v>0</v>
      </c>
    </row>
    <row r="295" spans="1:14">
      <c r="A295" s="1" t="s">
        <v>70</v>
      </c>
      <c r="B295" s="1" t="s">
        <v>153</v>
      </c>
      <c r="C295" s="1">
        <v>98</v>
      </c>
      <c r="D295" s="1" t="s">
        <v>152</v>
      </c>
      <c r="E295" s="1"/>
      <c r="F295" s="1"/>
      <c r="G295" s="1"/>
      <c r="H295" s="1">
        <v>3</v>
      </c>
      <c r="I295" s="1">
        <v>2755</v>
      </c>
      <c r="J295" s="1">
        <v>24.623000000000001</v>
      </c>
      <c r="K295" s="1">
        <v>1032</v>
      </c>
      <c r="L295" s="1">
        <v>8.9999999999999993E-3</v>
      </c>
      <c r="M295" s="1">
        <v>3.793E-4</v>
      </c>
      <c r="N295" s="1">
        <v>217.77699999999999</v>
      </c>
    </row>
    <row r="296" spans="1:14">
      <c r="A296" s="1" t="s">
        <v>70</v>
      </c>
      <c r="B296" s="1" t="s">
        <v>154</v>
      </c>
      <c r="C296" s="1">
        <v>99</v>
      </c>
      <c r="D296" s="1" t="s">
        <v>155</v>
      </c>
      <c r="E296" s="1"/>
      <c r="F296" s="1"/>
      <c r="G296" s="1"/>
      <c r="H296" s="1">
        <v>1</v>
      </c>
      <c r="I296" s="1">
        <v>2626</v>
      </c>
      <c r="J296" s="1">
        <v>47.427999999999997</v>
      </c>
      <c r="K296" s="1">
        <v>813</v>
      </c>
      <c r="L296" s="1">
        <v>1.4E-2</v>
      </c>
      <c r="M296" s="1">
        <v>3.1119999999999997E-4</v>
      </c>
      <c r="N296" s="1">
        <v>-0.90600000000000003</v>
      </c>
    </row>
    <row r="297" spans="1:14">
      <c r="A297" s="1" t="s">
        <v>70</v>
      </c>
      <c r="B297" s="1" t="s">
        <v>154</v>
      </c>
      <c r="C297" s="1">
        <v>99</v>
      </c>
      <c r="D297" s="1" t="s">
        <v>155</v>
      </c>
      <c r="E297" s="1"/>
      <c r="F297" s="1"/>
      <c r="G297" s="1"/>
      <c r="H297" s="1">
        <v>2</v>
      </c>
      <c r="I297" s="1">
        <v>2629</v>
      </c>
      <c r="J297" s="1">
        <v>48.683</v>
      </c>
      <c r="K297" s="1">
        <v>814</v>
      </c>
      <c r="L297" s="1">
        <v>1.4E-2</v>
      </c>
      <c r="M297" s="1">
        <v>3.1149999999999998E-4</v>
      </c>
      <c r="N297" s="1">
        <v>0</v>
      </c>
    </row>
    <row r="298" spans="1:14">
      <c r="A298" s="1" t="s">
        <v>70</v>
      </c>
      <c r="B298" s="1" t="s">
        <v>154</v>
      </c>
      <c r="C298" s="1">
        <v>99</v>
      </c>
      <c r="D298" s="1" t="s">
        <v>155</v>
      </c>
      <c r="E298" s="1"/>
      <c r="F298" s="1"/>
      <c r="G298" s="1"/>
      <c r="H298" s="1">
        <v>3</v>
      </c>
      <c r="I298" s="1">
        <v>2810</v>
      </c>
      <c r="J298" s="1">
        <v>25.42</v>
      </c>
      <c r="K298" s="1">
        <v>1061</v>
      </c>
      <c r="L298" s="1">
        <v>8.9999999999999993E-3</v>
      </c>
      <c r="M298" s="1">
        <v>3.8099999999999999E-4</v>
      </c>
      <c r="N298" s="1">
        <v>222.983</v>
      </c>
    </row>
    <row r="299" spans="1:14">
      <c r="A299" s="1" t="s">
        <v>70</v>
      </c>
      <c r="B299" s="1" t="s">
        <v>156</v>
      </c>
      <c r="C299" s="1">
        <v>100</v>
      </c>
      <c r="D299" s="1" t="s">
        <v>155</v>
      </c>
      <c r="E299" s="1"/>
      <c r="F299" s="1"/>
      <c r="G299" s="1"/>
      <c r="H299" s="1">
        <v>1</v>
      </c>
      <c r="I299" s="1">
        <v>2634</v>
      </c>
      <c r="J299" s="1">
        <v>47.601999999999997</v>
      </c>
      <c r="K299" s="1">
        <v>815</v>
      </c>
      <c r="L299" s="1">
        <v>1.4E-2</v>
      </c>
      <c r="M299" s="1">
        <v>3.1139999999999998E-4</v>
      </c>
      <c r="N299" s="1">
        <v>-0.34</v>
      </c>
    </row>
    <row r="300" spans="1:14">
      <c r="A300" s="1" t="s">
        <v>70</v>
      </c>
      <c r="B300" s="1" t="s">
        <v>156</v>
      </c>
      <c r="C300" s="1">
        <v>100</v>
      </c>
      <c r="D300" s="1" t="s">
        <v>155</v>
      </c>
      <c r="E300" s="1"/>
      <c r="F300" s="1"/>
      <c r="G300" s="1"/>
      <c r="H300" s="1">
        <v>2</v>
      </c>
      <c r="I300" s="1">
        <v>2631</v>
      </c>
      <c r="J300" s="1">
        <v>48.713999999999999</v>
      </c>
      <c r="K300" s="1">
        <v>814</v>
      </c>
      <c r="L300" s="1">
        <v>1.4E-2</v>
      </c>
      <c r="M300" s="1">
        <v>3.1149999999999998E-4</v>
      </c>
      <c r="N300" s="1">
        <v>0</v>
      </c>
    </row>
    <row r="301" spans="1:14">
      <c r="A301" s="1" t="s">
        <v>70</v>
      </c>
      <c r="B301" s="1" t="s">
        <v>156</v>
      </c>
      <c r="C301" s="1">
        <v>100</v>
      </c>
      <c r="D301" s="1" t="s">
        <v>155</v>
      </c>
      <c r="E301" s="1"/>
      <c r="F301" s="1"/>
      <c r="G301" s="1"/>
      <c r="H301" s="1">
        <v>3</v>
      </c>
      <c r="I301" s="1">
        <v>2792</v>
      </c>
      <c r="J301" s="1">
        <v>25.286000000000001</v>
      </c>
      <c r="K301" s="1">
        <v>1055</v>
      </c>
      <c r="L301" s="1">
        <v>8.9999999999999993E-3</v>
      </c>
      <c r="M301" s="1">
        <v>3.8220000000000002E-4</v>
      </c>
      <c r="N301" s="1">
        <v>227.07900000000001</v>
      </c>
    </row>
    <row r="302" spans="1:14">
      <c r="A302" s="1" t="s">
        <v>70</v>
      </c>
      <c r="B302" s="1" t="s">
        <v>157</v>
      </c>
      <c r="C302" s="1">
        <v>101</v>
      </c>
      <c r="D302" s="1" t="s">
        <v>158</v>
      </c>
      <c r="E302" s="1"/>
      <c r="F302" s="1"/>
      <c r="G302" s="1"/>
      <c r="H302" s="1">
        <v>1</v>
      </c>
      <c r="I302" s="1">
        <v>2627</v>
      </c>
      <c r="J302" s="1">
        <v>47.417000000000002</v>
      </c>
      <c r="K302" s="1">
        <v>812</v>
      </c>
      <c r="L302" s="1">
        <v>1.4E-2</v>
      </c>
      <c r="M302" s="1">
        <v>3.1119999999999997E-4</v>
      </c>
      <c r="N302" s="1">
        <v>-0.90700000000000003</v>
      </c>
    </row>
    <row r="303" spans="1:14">
      <c r="A303" s="1" t="s">
        <v>70</v>
      </c>
      <c r="B303" s="1" t="s">
        <v>157</v>
      </c>
      <c r="C303" s="1">
        <v>101</v>
      </c>
      <c r="D303" s="1" t="s">
        <v>158</v>
      </c>
      <c r="E303" s="1"/>
      <c r="F303" s="1"/>
      <c r="G303" s="1"/>
      <c r="H303" s="1">
        <v>2</v>
      </c>
      <c r="I303" s="1">
        <v>2627</v>
      </c>
      <c r="J303" s="1">
        <v>48.634999999999998</v>
      </c>
      <c r="K303" s="1">
        <v>813</v>
      </c>
      <c r="L303" s="1">
        <v>1.4E-2</v>
      </c>
      <c r="M303" s="1">
        <v>3.1149999999999998E-4</v>
      </c>
      <c r="N303" s="1">
        <v>0</v>
      </c>
    </row>
    <row r="304" spans="1:14">
      <c r="A304" s="1" t="s">
        <v>70</v>
      </c>
      <c r="B304" s="1" t="s">
        <v>157</v>
      </c>
      <c r="C304" s="1">
        <v>101</v>
      </c>
      <c r="D304" s="1" t="s">
        <v>158</v>
      </c>
      <c r="E304" s="1"/>
      <c r="F304" s="1"/>
      <c r="G304" s="1"/>
      <c r="H304" s="1">
        <v>3</v>
      </c>
      <c r="I304" s="1">
        <v>2778</v>
      </c>
      <c r="J304" s="1">
        <v>25.238</v>
      </c>
      <c r="K304" s="1">
        <v>1044</v>
      </c>
      <c r="L304" s="1">
        <v>8.9999999999999993E-3</v>
      </c>
      <c r="M304" s="1">
        <v>3.7960000000000001E-4</v>
      </c>
      <c r="N304" s="1">
        <v>218.66</v>
      </c>
    </row>
    <row r="305" spans="1:14">
      <c r="A305" s="1" t="s">
        <v>70</v>
      </c>
      <c r="B305" s="1" t="s">
        <v>159</v>
      </c>
      <c r="C305" s="1">
        <v>102</v>
      </c>
      <c r="D305" s="1" t="s">
        <v>158</v>
      </c>
      <c r="E305" s="1"/>
      <c r="F305" s="1"/>
      <c r="G305" s="1"/>
      <c r="H305" s="1">
        <v>1</v>
      </c>
      <c r="I305" s="1">
        <v>2628</v>
      </c>
      <c r="J305" s="1">
        <v>47.451999999999998</v>
      </c>
      <c r="K305" s="1">
        <v>813</v>
      </c>
      <c r="L305" s="1">
        <v>1.4E-2</v>
      </c>
      <c r="M305" s="1">
        <v>3.1139999999999998E-4</v>
      </c>
      <c r="N305" s="1">
        <v>-0.32400000000000001</v>
      </c>
    </row>
    <row r="306" spans="1:14">
      <c r="A306" s="1" t="s">
        <v>70</v>
      </c>
      <c r="B306" s="1" t="s">
        <v>159</v>
      </c>
      <c r="C306" s="1">
        <v>102</v>
      </c>
      <c r="D306" s="1" t="s">
        <v>158</v>
      </c>
      <c r="E306" s="1"/>
      <c r="F306" s="1"/>
      <c r="G306" s="1"/>
      <c r="H306" s="1">
        <v>2</v>
      </c>
      <c r="I306" s="1">
        <v>2627</v>
      </c>
      <c r="J306" s="1">
        <v>48.628999999999998</v>
      </c>
      <c r="K306" s="1">
        <v>812</v>
      </c>
      <c r="L306" s="1">
        <v>1.4E-2</v>
      </c>
      <c r="M306" s="1">
        <v>3.1149999999999998E-4</v>
      </c>
      <c r="N306" s="1">
        <v>0</v>
      </c>
    </row>
    <row r="307" spans="1:14">
      <c r="A307" s="1" t="s">
        <v>70</v>
      </c>
      <c r="B307" s="1" t="s">
        <v>159</v>
      </c>
      <c r="C307" s="1">
        <v>102</v>
      </c>
      <c r="D307" s="1" t="s">
        <v>158</v>
      </c>
      <c r="E307" s="1"/>
      <c r="F307" s="1"/>
      <c r="G307" s="1"/>
      <c r="H307" s="1">
        <v>3</v>
      </c>
      <c r="I307" s="1">
        <v>2804</v>
      </c>
      <c r="J307" s="1">
        <v>25.175000000000001</v>
      </c>
      <c r="K307" s="1">
        <v>1054</v>
      </c>
      <c r="L307" s="1">
        <v>8.9999999999999993E-3</v>
      </c>
      <c r="M307" s="1">
        <v>3.8000000000000002E-4</v>
      </c>
      <c r="N307" s="1">
        <v>219.774</v>
      </c>
    </row>
    <row r="308" spans="1:14">
      <c r="A308" s="1" t="s">
        <v>70</v>
      </c>
      <c r="B308" s="1" t="s">
        <v>160</v>
      </c>
      <c r="C308" s="1">
        <v>103</v>
      </c>
      <c r="D308" s="1" t="s">
        <v>161</v>
      </c>
      <c r="E308" s="1"/>
      <c r="F308" s="1"/>
      <c r="G308" s="1"/>
      <c r="H308" s="1">
        <v>1</v>
      </c>
      <c r="I308" s="1">
        <v>2633</v>
      </c>
      <c r="J308" s="1">
        <v>47.515999999999998</v>
      </c>
      <c r="K308" s="1">
        <v>815</v>
      </c>
      <c r="L308" s="1">
        <v>1.4E-2</v>
      </c>
      <c r="M308" s="1">
        <v>3.1189999999999999E-4</v>
      </c>
      <c r="N308" s="1">
        <v>1.1579999999999999</v>
      </c>
    </row>
    <row r="309" spans="1:14">
      <c r="A309" s="1" t="s">
        <v>70</v>
      </c>
      <c r="B309" s="1" t="s">
        <v>160</v>
      </c>
      <c r="C309" s="1">
        <v>103</v>
      </c>
      <c r="D309" s="1" t="s">
        <v>161</v>
      </c>
      <c r="E309" s="1"/>
      <c r="F309" s="1"/>
      <c r="G309" s="1"/>
      <c r="H309" s="1">
        <v>2</v>
      </c>
      <c r="I309" s="1">
        <v>2635</v>
      </c>
      <c r="J309" s="1">
        <v>48.636000000000003</v>
      </c>
      <c r="K309" s="1">
        <v>814</v>
      </c>
      <c r="L309" s="1">
        <v>1.4E-2</v>
      </c>
      <c r="M309" s="1">
        <v>3.1149999999999998E-4</v>
      </c>
      <c r="N309" s="1">
        <v>0</v>
      </c>
    </row>
    <row r="310" spans="1:14">
      <c r="A310" s="1" t="s">
        <v>70</v>
      </c>
      <c r="B310" s="1" t="s">
        <v>160</v>
      </c>
      <c r="C310" s="1">
        <v>103</v>
      </c>
      <c r="D310" s="1" t="s">
        <v>161</v>
      </c>
      <c r="E310" s="1"/>
      <c r="F310" s="1"/>
      <c r="G310" s="1"/>
      <c r="H310" s="1">
        <v>3</v>
      </c>
      <c r="I310" s="1">
        <v>3024</v>
      </c>
      <c r="J310" s="1">
        <v>27.131</v>
      </c>
      <c r="K310" s="1">
        <v>1155</v>
      </c>
      <c r="L310" s="1">
        <v>0.01</v>
      </c>
      <c r="M310" s="1">
        <v>3.8470000000000003E-4</v>
      </c>
      <c r="N310" s="1">
        <v>235.11799999999999</v>
      </c>
    </row>
    <row r="311" spans="1:14">
      <c r="A311" s="1" t="s">
        <v>70</v>
      </c>
      <c r="B311" s="1" t="s">
        <v>162</v>
      </c>
      <c r="C311" s="1">
        <v>104</v>
      </c>
      <c r="D311" s="1" t="s">
        <v>161</v>
      </c>
      <c r="E311" s="1"/>
      <c r="F311" s="1"/>
      <c r="G311" s="1"/>
      <c r="H311" s="1">
        <v>1</v>
      </c>
      <c r="I311" s="1">
        <v>2627</v>
      </c>
      <c r="J311" s="1">
        <v>47.564999999999998</v>
      </c>
      <c r="K311" s="1">
        <v>812</v>
      </c>
      <c r="L311" s="1">
        <v>1.4E-2</v>
      </c>
      <c r="M311" s="1">
        <v>3.1139999999999998E-4</v>
      </c>
      <c r="N311" s="1">
        <v>-0.312</v>
      </c>
    </row>
    <row r="312" spans="1:14">
      <c r="A312" s="1" t="s">
        <v>70</v>
      </c>
      <c r="B312" s="1" t="s">
        <v>162</v>
      </c>
      <c r="C312" s="1">
        <v>104</v>
      </c>
      <c r="D312" s="1" t="s">
        <v>161</v>
      </c>
      <c r="E312" s="1"/>
      <c r="F312" s="1"/>
      <c r="G312" s="1"/>
      <c r="H312" s="1">
        <v>2</v>
      </c>
      <c r="I312" s="1">
        <v>2627</v>
      </c>
      <c r="J312" s="1">
        <v>48.582999999999998</v>
      </c>
      <c r="K312" s="1">
        <v>812</v>
      </c>
      <c r="L312" s="1">
        <v>1.4E-2</v>
      </c>
      <c r="M312" s="1">
        <v>3.1149999999999998E-4</v>
      </c>
      <c r="N312" s="1">
        <v>0</v>
      </c>
    </row>
    <row r="313" spans="1:14">
      <c r="A313" s="1" t="s">
        <v>70</v>
      </c>
      <c r="B313" s="1" t="s">
        <v>162</v>
      </c>
      <c r="C313" s="1">
        <v>104</v>
      </c>
      <c r="D313" s="1" t="s">
        <v>161</v>
      </c>
      <c r="E313" s="1"/>
      <c r="F313" s="1"/>
      <c r="G313" s="1"/>
      <c r="H313" s="1">
        <v>3</v>
      </c>
      <c r="I313" s="1">
        <v>2814</v>
      </c>
      <c r="J313" s="1">
        <v>25.396999999999998</v>
      </c>
      <c r="K313" s="1">
        <v>1070</v>
      </c>
      <c r="L313" s="1">
        <v>8.9999999999999993E-3</v>
      </c>
      <c r="M313" s="1">
        <v>3.8499999999999998E-4</v>
      </c>
      <c r="N313" s="1">
        <v>235.82300000000001</v>
      </c>
    </row>
    <row r="314" spans="1:14">
      <c r="A314" s="1" t="s">
        <v>70</v>
      </c>
      <c r="B314" s="1" t="s">
        <v>163</v>
      </c>
      <c r="C314" s="1">
        <v>105</v>
      </c>
      <c r="D314" s="1" t="s">
        <v>164</v>
      </c>
      <c r="E314" s="1"/>
      <c r="F314" s="1"/>
      <c r="G314" s="1"/>
      <c r="H314" s="1">
        <v>1</v>
      </c>
      <c r="I314" s="1">
        <v>2629</v>
      </c>
      <c r="J314" s="1">
        <v>47.445</v>
      </c>
      <c r="K314" s="1">
        <v>813</v>
      </c>
      <c r="L314" s="1">
        <v>1.4E-2</v>
      </c>
      <c r="M314" s="1">
        <v>3.1169999999999999E-4</v>
      </c>
      <c r="N314" s="1">
        <v>0.65100000000000002</v>
      </c>
    </row>
    <row r="315" spans="1:14">
      <c r="A315" s="1" t="s">
        <v>70</v>
      </c>
      <c r="B315" s="1" t="s">
        <v>163</v>
      </c>
      <c r="C315" s="1">
        <v>105</v>
      </c>
      <c r="D315" s="1" t="s">
        <v>164</v>
      </c>
      <c r="E315" s="1"/>
      <c r="F315" s="1"/>
      <c r="G315" s="1"/>
      <c r="H315" s="1">
        <v>2</v>
      </c>
      <c r="I315" s="1">
        <v>2627</v>
      </c>
      <c r="J315" s="1">
        <v>48.521000000000001</v>
      </c>
      <c r="K315" s="1">
        <v>813</v>
      </c>
      <c r="L315" s="1">
        <v>1.4E-2</v>
      </c>
      <c r="M315" s="1">
        <v>3.1149999999999998E-4</v>
      </c>
      <c r="N315" s="1">
        <v>0</v>
      </c>
    </row>
    <row r="316" spans="1:14">
      <c r="A316" s="1" t="s">
        <v>70</v>
      </c>
      <c r="B316" s="1" t="s">
        <v>163</v>
      </c>
      <c r="C316" s="1">
        <v>105</v>
      </c>
      <c r="D316" s="1" t="s">
        <v>164</v>
      </c>
      <c r="E316" s="1"/>
      <c r="F316" s="1"/>
      <c r="G316" s="1"/>
      <c r="H316" s="1">
        <v>3</v>
      </c>
      <c r="I316" s="1">
        <v>2854</v>
      </c>
      <c r="J316" s="1">
        <v>25.777000000000001</v>
      </c>
      <c r="K316" s="1">
        <v>1089</v>
      </c>
      <c r="L316" s="1">
        <v>8.9999999999999993E-3</v>
      </c>
      <c r="M316" s="1">
        <v>3.857E-4</v>
      </c>
      <c r="N316" s="1">
        <v>238.048</v>
      </c>
    </row>
    <row r="317" spans="1:14">
      <c r="A317" s="1" t="s">
        <v>70</v>
      </c>
      <c r="B317" s="1" t="s">
        <v>165</v>
      </c>
      <c r="C317" s="1">
        <v>106</v>
      </c>
      <c r="D317" s="1" t="s">
        <v>164</v>
      </c>
      <c r="E317" s="1"/>
      <c r="F317" s="1"/>
      <c r="G317" s="1"/>
      <c r="H317" s="1">
        <v>1</v>
      </c>
      <c r="I317" s="1">
        <v>2632</v>
      </c>
      <c r="J317" s="1">
        <v>47.652999999999999</v>
      </c>
      <c r="K317" s="1">
        <v>814</v>
      </c>
      <c r="L317" s="1">
        <v>1.4E-2</v>
      </c>
      <c r="M317" s="1">
        <v>3.1149999999999998E-4</v>
      </c>
      <c r="N317" s="1">
        <v>2.8000000000000001E-2</v>
      </c>
    </row>
    <row r="318" spans="1:14">
      <c r="A318" s="1" t="s">
        <v>70</v>
      </c>
      <c r="B318" s="1" t="s">
        <v>165</v>
      </c>
      <c r="C318" s="1">
        <v>106</v>
      </c>
      <c r="D318" s="1" t="s">
        <v>164</v>
      </c>
      <c r="E318" s="1"/>
      <c r="F318" s="1"/>
      <c r="G318" s="1"/>
      <c r="H318" s="1">
        <v>2</v>
      </c>
      <c r="I318" s="1">
        <v>2630</v>
      </c>
      <c r="J318" s="1">
        <v>48.673000000000002</v>
      </c>
      <c r="K318" s="1">
        <v>813</v>
      </c>
      <c r="L318" s="1">
        <v>1.4E-2</v>
      </c>
      <c r="M318" s="1">
        <v>3.1149999999999998E-4</v>
      </c>
      <c r="N318" s="1">
        <v>0</v>
      </c>
    </row>
    <row r="319" spans="1:14">
      <c r="A319" s="1" t="s">
        <v>70</v>
      </c>
      <c r="B319" s="1" t="s">
        <v>165</v>
      </c>
      <c r="C319" s="1">
        <v>106</v>
      </c>
      <c r="D319" s="1" t="s">
        <v>164</v>
      </c>
      <c r="E319" s="1"/>
      <c r="F319" s="1"/>
      <c r="G319" s="1"/>
      <c r="H319" s="1">
        <v>3</v>
      </c>
      <c r="I319" s="1">
        <v>2837</v>
      </c>
      <c r="J319" s="1">
        <v>25.706</v>
      </c>
      <c r="K319" s="1">
        <v>1082</v>
      </c>
      <c r="L319" s="1">
        <v>8.9999999999999993E-3</v>
      </c>
      <c r="M319" s="1">
        <v>3.8519999999999998E-4</v>
      </c>
      <c r="N319" s="1">
        <v>236.572</v>
      </c>
    </row>
    <row r="320" spans="1:14">
      <c r="A320" s="1" t="s">
        <v>70</v>
      </c>
      <c r="B320" s="1" t="s">
        <v>166</v>
      </c>
      <c r="C320" s="1">
        <v>107</v>
      </c>
      <c r="D320" s="1" t="s">
        <v>20</v>
      </c>
      <c r="E320" s="1"/>
      <c r="F320" s="1"/>
      <c r="G320" s="1"/>
      <c r="H320" s="1">
        <v>1</v>
      </c>
      <c r="I320" s="1">
        <v>2626</v>
      </c>
      <c r="J320" s="1">
        <v>47.439</v>
      </c>
      <c r="K320" s="1">
        <v>812</v>
      </c>
      <c r="L320" s="1">
        <v>1.4E-2</v>
      </c>
      <c r="M320" s="1">
        <v>3.1139999999999998E-4</v>
      </c>
      <c r="N320" s="1">
        <v>-0.30599999999999999</v>
      </c>
    </row>
    <row r="321" spans="1:14">
      <c r="A321" s="1" t="s">
        <v>70</v>
      </c>
      <c r="B321" s="1" t="s">
        <v>166</v>
      </c>
      <c r="C321" s="1">
        <v>107</v>
      </c>
      <c r="D321" s="1" t="s">
        <v>20</v>
      </c>
      <c r="E321" s="1"/>
      <c r="F321" s="1"/>
      <c r="G321" s="1"/>
      <c r="H321" s="1">
        <v>2</v>
      </c>
      <c r="I321" s="1">
        <v>2626</v>
      </c>
      <c r="J321" s="1">
        <v>48.594999999999999</v>
      </c>
      <c r="K321" s="1">
        <v>812</v>
      </c>
      <c r="L321" s="1">
        <v>1.4E-2</v>
      </c>
      <c r="M321" s="1">
        <v>3.1149999999999998E-4</v>
      </c>
      <c r="N321" s="1">
        <v>0</v>
      </c>
    </row>
    <row r="322" spans="1:14">
      <c r="A322" s="1" t="s">
        <v>70</v>
      </c>
      <c r="B322" s="1" t="s">
        <v>166</v>
      </c>
      <c r="C322" s="1">
        <v>107</v>
      </c>
      <c r="D322" s="1" t="s">
        <v>20</v>
      </c>
      <c r="E322" s="1"/>
      <c r="F322" s="1"/>
      <c r="G322" s="1"/>
      <c r="H322" s="1">
        <v>3</v>
      </c>
      <c r="I322" s="1">
        <v>2831</v>
      </c>
      <c r="J322" s="1">
        <v>25.344999999999999</v>
      </c>
      <c r="K322" s="1">
        <v>1055</v>
      </c>
      <c r="L322" s="1">
        <v>8.9999999999999993E-3</v>
      </c>
      <c r="M322" s="1">
        <v>3.7609999999999998E-4</v>
      </c>
      <c r="N322" s="1">
        <v>207.42500000000001</v>
      </c>
    </row>
    <row r="323" spans="1:14">
      <c r="A323" s="1" t="s">
        <v>70</v>
      </c>
      <c r="B323" s="1" t="s">
        <v>167</v>
      </c>
      <c r="C323" s="1">
        <v>108</v>
      </c>
      <c r="D323" s="1" t="s">
        <v>20</v>
      </c>
      <c r="E323" s="1"/>
      <c r="F323" s="1"/>
      <c r="G323" s="1"/>
      <c r="H323" s="1">
        <v>1</v>
      </c>
      <c r="I323" s="1">
        <v>2630</v>
      </c>
      <c r="J323" s="1">
        <v>47.545000000000002</v>
      </c>
      <c r="K323" s="1">
        <v>814</v>
      </c>
      <c r="L323" s="1">
        <v>1.4E-2</v>
      </c>
      <c r="M323" s="1">
        <v>3.1169999999999999E-4</v>
      </c>
      <c r="N323" s="1">
        <v>0.77600000000000002</v>
      </c>
    </row>
    <row r="324" spans="1:14">
      <c r="A324" s="1" t="s">
        <v>70</v>
      </c>
      <c r="B324" s="1" t="s">
        <v>167</v>
      </c>
      <c r="C324" s="1">
        <v>108</v>
      </c>
      <c r="D324" s="1" t="s">
        <v>20</v>
      </c>
      <c r="E324" s="1"/>
      <c r="F324" s="1"/>
      <c r="G324" s="1"/>
      <c r="H324" s="1">
        <v>2</v>
      </c>
      <c r="I324" s="1">
        <v>2631</v>
      </c>
      <c r="J324" s="1">
        <v>48.658000000000001</v>
      </c>
      <c r="K324" s="1">
        <v>814</v>
      </c>
      <c r="L324" s="1">
        <v>1.4E-2</v>
      </c>
      <c r="M324" s="1">
        <v>3.1149999999999998E-4</v>
      </c>
      <c r="N324" s="1">
        <v>0</v>
      </c>
    </row>
    <row r="325" spans="1:14">
      <c r="A325" s="1" t="s">
        <v>70</v>
      </c>
      <c r="B325" s="1" t="s">
        <v>167</v>
      </c>
      <c r="C325" s="1">
        <v>108</v>
      </c>
      <c r="D325" s="1" t="s">
        <v>20</v>
      </c>
      <c r="E325" s="1"/>
      <c r="F325" s="1"/>
      <c r="G325" s="1"/>
      <c r="H325" s="1">
        <v>3</v>
      </c>
      <c r="I325" s="1">
        <v>2812</v>
      </c>
      <c r="J325" s="1">
        <v>25.36</v>
      </c>
      <c r="K325" s="1">
        <v>1047</v>
      </c>
      <c r="L325" s="1">
        <v>8.9999999999999993E-3</v>
      </c>
      <c r="M325" s="1">
        <v>3.7629999999999999E-4</v>
      </c>
      <c r="N325" s="1">
        <v>207.91</v>
      </c>
    </row>
    <row r="326" spans="1:14">
      <c r="A326" s="1" t="s">
        <v>70</v>
      </c>
      <c r="B326" s="1" t="s">
        <v>168</v>
      </c>
      <c r="C326" s="1">
        <v>109</v>
      </c>
      <c r="D326" s="1" t="s">
        <v>169</v>
      </c>
      <c r="E326" s="1"/>
      <c r="F326" s="1"/>
      <c r="G326" s="1"/>
      <c r="H326" s="1">
        <v>1</v>
      </c>
      <c r="I326" s="1">
        <v>2631</v>
      </c>
      <c r="J326" s="1">
        <v>47.649000000000001</v>
      </c>
      <c r="K326" s="1">
        <v>813</v>
      </c>
      <c r="L326" s="1">
        <v>1.4E-2</v>
      </c>
      <c r="M326" s="1">
        <v>3.1129999999999998E-4</v>
      </c>
      <c r="N326" s="1">
        <v>-0.56499999999999995</v>
      </c>
    </row>
    <row r="327" spans="1:14">
      <c r="A327" s="1" t="s">
        <v>70</v>
      </c>
      <c r="B327" s="1" t="s">
        <v>168</v>
      </c>
      <c r="C327" s="1">
        <v>109</v>
      </c>
      <c r="D327" s="1" t="s">
        <v>169</v>
      </c>
      <c r="E327" s="1"/>
      <c r="F327" s="1"/>
      <c r="G327" s="1"/>
      <c r="H327" s="1">
        <v>2</v>
      </c>
      <c r="I327" s="1">
        <v>2630</v>
      </c>
      <c r="J327" s="1">
        <v>48.643999999999998</v>
      </c>
      <c r="K327" s="1">
        <v>814</v>
      </c>
      <c r="L327" s="1">
        <v>1.4E-2</v>
      </c>
      <c r="M327" s="1">
        <v>3.1149999999999998E-4</v>
      </c>
      <c r="N327" s="1">
        <v>0</v>
      </c>
    </row>
    <row r="328" spans="1:14">
      <c r="A328" s="1" t="s">
        <v>70</v>
      </c>
      <c r="B328" s="1" t="s">
        <v>168</v>
      </c>
      <c r="C328" s="1">
        <v>109</v>
      </c>
      <c r="D328" s="1" t="s">
        <v>169</v>
      </c>
      <c r="E328" s="1"/>
      <c r="F328" s="1"/>
      <c r="G328" s="1"/>
      <c r="H328" s="1">
        <v>3</v>
      </c>
      <c r="I328" s="1">
        <v>2779</v>
      </c>
      <c r="J328" s="1">
        <v>25.361999999999998</v>
      </c>
      <c r="K328" s="1">
        <v>1058</v>
      </c>
      <c r="L328" s="1">
        <v>8.9999999999999993E-3</v>
      </c>
      <c r="M328" s="1">
        <v>3.8529999999999999E-4</v>
      </c>
      <c r="N328" s="1">
        <v>236.88499999999999</v>
      </c>
    </row>
    <row r="329" spans="1:14">
      <c r="A329" s="1" t="s">
        <v>70</v>
      </c>
      <c r="B329" s="1" t="s">
        <v>170</v>
      </c>
      <c r="C329" s="1">
        <v>110</v>
      </c>
      <c r="D329" s="1" t="s">
        <v>169</v>
      </c>
      <c r="E329" s="1"/>
      <c r="F329" s="1"/>
      <c r="G329" s="1"/>
      <c r="H329" s="1">
        <v>1</v>
      </c>
      <c r="I329" s="1">
        <v>2634</v>
      </c>
      <c r="J329" s="1">
        <v>47.738</v>
      </c>
      <c r="K329" s="1">
        <v>815</v>
      </c>
      <c r="L329" s="1">
        <v>1.4E-2</v>
      </c>
      <c r="M329" s="1">
        <v>3.1100000000000002E-4</v>
      </c>
      <c r="N329" s="1">
        <v>-1.5349999999999999</v>
      </c>
    </row>
    <row r="330" spans="1:14">
      <c r="A330" s="1" t="s">
        <v>70</v>
      </c>
      <c r="B330" s="1" t="s">
        <v>170</v>
      </c>
      <c r="C330" s="1">
        <v>110</v>
      </c>
      <c r="D330" s="1" t="s">
        <v>169</v>
      </c>
      <c r="E330" s="1"/>
      <c r="F330" s="1"/>
      <c r="G330" s="1"/>
      <c r="H330" s="1">
        <v>2</v>
      </c>
      <c r="I330" s="1">
        <v>2629</v>
      </c>
      <c r="J330" s="1">
        <v>48.622999999999998</v>
      </c>
      <c r="K330" s="1">
        <v>813</v>
      </c>
      <c r="L330" s="1">
        <v>1.4E-2</v>
      </c>
      <c r="M330" s="1">
        <v>3.1149999999999998E-4</v>
      </c>
      <c r="N330" s="1">
        <v>0</v>
      </c>
    </row>
    <row r="331" spans="1:14">
      <c r="A331" s="1" t="s">
        <v>70</v>
      </c>
      <c r="B331" s="1" t="s">
        <v>170</v>
      </c>
      <c r="C331" s="1">
        <v>110</v>
      </c>
      <c r="D331" s="1" t="s">
        <v>169</v>
      </c>
      <c r="E331" s="1"/>
      <c r="F331" s="1"/>
      <c r="G331" s="1"/>
      <c r="H331" s="1">
        <v>3</v>
      </c>
      <c r="I331" s="1">
        <v>2871</v>
      </c>
      <c r="J331" s="1">
        <v>26.145</v>
      </c>
      <c r="K331" s="1">
        <v>1095</v>
      </c>
      <c r="L331" s="1">
        <v>8.9999999999999993E-3</v>
      </c>
      <c r="M331" s="1">
        <v>3.8519999999999998E-4</v>
      </c>
      <c r="N331" s="1">
        <v>236.7</v>
      </c>
    </row>
    <row r="332" spans="1:14">
      <c r="A332" s="1" t="s">
        <v>70</v>
      </c>
      <c r="B332" s="1" t="s">
        <v>171</v>
      </c>
      <c r="C332" s="1">
        <v>111</v>
      </c>
      <c r="D332" s="1" t="s">
        <v>172</v>
      </c>
      <c r="E332" s="1"/>
      <c r="F332" s="1"/>
      <c r="G332" s="1"/>
      <c r="H332" s="1">
        <v>1</v>
      </c>
      <c r="I332" s="1">
        <v>2622</v>
      </c>
      <c r="J332" s="1">
        <v>47.405000000000001</v>
      </c>
      <c r="K332" s="1">
        <v>811</v>
      </c>
      <c r="L332" s="1">
        <v>1.4E-2</v>
      </c>
      <c r="M332" s="1">
        <v>3.1169999999999999E-4</v>
      </c>
      <c r="N332" s="1">
        <v>0.754</v>
      </c>
    </row>
    <row r="333" spans="1:14">
      <c r="A333" s="1" t="s">
        <v>70</v>
      </c>
      <c r="B333" s="1" t="s">
        <v>171</v>
      </c>
      <c r="C333" s="1">
        <v>111</v>
      </c>
      <c r="D333" s="1" t="s">
        <v>172</v>
      </c>
      <c r="E333" s="1"/>
      <c r="F333" s="1"/>
      <c r="G333" s="1"/>
      <c r="H333" s="1">
        <v>2</v>
      </c>
      <c r="I333" s="1">
        <v>2628</v>
      </c>
      <c r="J333" s="1">
        <v>48.567</v>
      </c>
      <c r="K333" s="1">
        <v>812</v>
      </c>
      <c r="L333" s="1">
        <v>1.4E-2</v>
      </c>
      <c r="M333" s="1">
        <v>3.1149999999999998E-4</v>
      </c>
      <c r="N333" s="1">
        <v>0</v>
      </c>
    </row>
    <row r="334" spans="1:14">
      <c r="A334" s="1" t="s">
        <v>70</v>
      </c>
      <c r="B334" s="1" t="s">
        <v>171</v>
      </c>
      <c r="C334" s="1">
        <v>111</v>
      </c>
      <c r="D334" s="1" t="s">
        <v>172</v>
      </c>
      <c r="E334" s="1"/>
      <c r="F334" s="1"/>
      <c r="G334" s="1"/>
      <c r="H334" s="1">
        <v>3</v>
      </c>
      <c r="I334" s="1">
        <v>2784</v>
      </c>
      <c r="J334" s="1">
        <v>25.167999999999999</v>
      </c>
      <c r="K334" s="1">
        <v>1070</v>
      </c>
      <c r="L334" s="1">
        <v>8.9999999999999993E-3</v>
      </c>
      <c r="M334" s="1">
        <v>3.8850000000000001E-4</v>
      </c>
      <c r="N334" s="1">
        <v>247.17599999999999</v>
      </c>
    </row>
    <row r="335" spans="1:14">
      <c r="A335" s="1" t="s">
        <v>70</v>
      </c>
      <c r="B335" s="1" t="s">
        <v>173</v>
      </c>
      <c r="C335" s="1">
        <v>112</v>
      </c>
      <c r="D335" s="1" t="s">
        <v>172</v>
      </c>
      <c r="E335" s="1"/>
      <c r="F335" s="1"/>
      <c r="G335" s="1"/>
      <c r="H335" s="1">
        <v>1</v>
      </c>
      <c r="I335" s="1">
        <v>2630</v>
      </c>
      <c r="J335" s="1">
        <v>47.491999999999997</v>
      </c>
      <c r="K335" s="1">
        <v>813</v>
      </c>
      <c r="L335" s="1">
        <v>1.4E-2</v>
      </c>
      <c r="M335" s="1">
        <v>3.1119999999999997E-4</v>
      </c>
      <c r="N335" s="1">
        <v>-0.90700000000000003</v>
      </c>
    </row>
    <row r="336" spans="1:14">
      <c r="A336" s="1" t="s">
        <v>70</v>
      </c>
      <c r="B336" s="1" t="s">
        <v>173</v>
      </c>
      <c r="C336" s="1">
        <v>112</v>
      </c>
      <c r="D336" s="1" t="s">
        <v>172</v>
      </c>
      <c r="E336" s="1"/>
      <c r="F336" s="1"/>
      <c r="G336" s="1"/>
      <c r="H336" s="1">
        <v>2</v>
      </c>
      <c r="I336" s="1">
        <v>2628</v>
      </c>
      <c r="J336" s="1">
        <v>48.506</v>
      </c>
      <c r="K336" s="1">
        <v>813</v>
      </c>
      <c r="L336" s="1">
        <v>1.4E-2</v>
      </c>
      <c r="M336" s="1">
        <v>3.1149999999999998E-4</v>
      </c>
      <c r="N336" s="1">
        <v>0</v>
      </c>
    </row>
    <row r="337" spans="1:14">
      <c r="A337" s="1" t="s">
        <v>70</v>
      </c>
      <c r="B337" s="1" t="s">
        <v>173</v>
      </c>
      <c r="C337" s="1">
        <v>112</v>
      </c>
      <c r="D337" s="1" t="s">
        <v>172</v>
      </c>
      <c r="E337" s="1"/>
      <c r="F337" s="1"/>
      <c r="G337" s="1"/>
      <c r="H337" s="1">
        <v>3</v>
      </c>
      <c r="I337" s="1">
        <v>2773</v>
      </c>
      <c r="J337" s="1">
        <v>25.187000000000001</v>
      </c>
      <c r="K337" s="1">
        <v>1064</v>
      </c>
      <c r="L337" s="1">
        <v>8.9999999999999993E-3</v>
      </c>
      <c r="M337" s="1">
        <v>3.8749999999999999E-4</v>
      </c>
      <c r="N337" s="1">
        <v>243.928</v>
      </c>
    </row>
    <row r="338" spans="1:14">
      <c r="A338" s="1" t="s">
        <v>70</v>
      </c>
      <c r="B338" s="1" t="s">
        <v>174</v>
      </c>
      <c r="C338" s="1">
        <v>113</v>
      </c>
      <c r="D338" s="1" t="s">
        <v>175</v>
      </c>
      <c r="E338" s="1"/>
      <c r="F338" s="1"/>
      <c r="G338" s="1"/>
      <c r="H338" s="1">
        <v>1</v>
      </c>
      <c r="I338" s="1">
        <v>2623</v>
      </c>
      <c r="J338" s="1">
        <v>47.399000000000001</v>
      </c>
      <c r="K338" s="1">
        <v>810</v>
      </c>
      <c r="L338" s="1">
        <v>1.4E-2</v>
      </c>
      <c r="M338" s="1">
        <v>3.1129999999999998E-4</v>
      </c>
      <c r="N338" s="1">
        <v>-0.64800000000000002</v>
      </c>
    </row>
    <row r="339" spans="1:14">
      <c r="A339" s="1" t="s">
        <v>70</v>
      </c>
      <c r="B339" s="1" t="s">
        <v>174</v>
      </c>
      <c r="C339" s="1">
        <v>113</v>
      </c>
      <c r="D339" s="1" t="s">
        <v>175</v>
      </c>
      <c r="E339" s="1"/>
      <c r="F339" s="1"/>
      <c r="G339" s="1"/>
      <c r="H339" s="1">
        <v>2</v>
      </c>
      <c r="I339" s="1">
        <v>2624</v>
      </c>
      <c r="J339" s="1">
        <v>48.539000000000001</v>
      </c>
      <c r="K339" s="1">
        <v>811</v>
      </c>
      <c r="L339" s="1">
        <v>1.4E-2</v>
      </c>
      <c r="M339" s="1">
        <v>3.1149999999999998E-4</v>
      </c>
      <c r="N339" s="1">
        <v>0</v>
      </c>
    </row>
    <row r="340" spans="1:14">
      <c r="A340" s="1" t="s">
        <v>70</v>
      </c>
      <c r="B340" s="1" t="s">
        <v>174</v>
      </c>
      <c r="C340" s="1">
        <v>113</v>
      </c>
      <c r="D340" s="1" t="s">
        <v>175</v>
      </c>
      <c r="E340" s="1"/>
      <c r="F340" s="1"/>
      <c r="G340" s="1"/>
      <c r="H340" s="1">
        <v>3</v>
      </c>
      <c r="I340" s="1">
        <v>2767</v>
      </c>
      <c r="J340" s="1">
        <v>25.352</v>
      </c>
      <c r="K340" s="1">
        <v>1067</v>
      </c>
      <c r="L340" s="1">
        <v>8.9999999999999993E-3</v>
      </c>
      <c r="M340" s="1">
        <v>3.8999999999999999E-4</v>
      </c>
      <c r="N340" s="1">
        <v>252.00899999999999</v>
      </c>
    </row>
    <row r="341" spans="1:14">
      <c r="A341" s="1" t="s">
        <v>70</v>
      </c>
      <c r="B341" s="1" t="s">
        <v>176</v>
      </c>
      <c r="C341" s="1">
        <v>114</v>
      </c>
      <c r="D341" s="1" t="s">
        <v>175</v>
      </c>
      <c r="E341" s="1"/>
      <c r="F341" s="1"/>
      <c r="G341" s="1"/>
      <c r="H341" s="1">
        <v>1</v>
      </c>
      <c r="I341" s="1">
        <v>2624</v>
      </c>
      <c r="J341" s="1">
        <v>47.348999999999997</v>
      </c>
      <c r="K341" s="1">
        <v>811</v>
      </c>
      <c r="L341" s="1">
        <v>1.4E-2</v>
      </c>
      <c r="M341" s="1">
        <v>3.1100000000000002E-4</v>
      </c>
      <c r="N341" s="1">
        <v>-1.504</v>
      </c>
    </row>
    <row r="342" spans="1:14">
      <c r="A342" s="1" t="s">
        <v>70</v>
      </c>
      <c r="B342" s="1" t="s">
        <v>176</v>
      </c>
      <c r="C342" s="1">
        <v>114</v>
      </c>
      <c r="D342" s="1" t="s">
        <v>175</v>
      </c>
      <c r="E342" s="1"/>
      <c r="F342" s="1"/>
      <c r="G342" s="1"/>
      <c r="H342" s="1">
        <v>2</v>
      </c>
      <c r="I342" s="1">
        <v>2623</v>
      </c>
      <c r="J342" s="1">
        <v>48.598999999999997</v>
      </c>
      <c r="K342" s="1">
        <v>812</v>
      </c>
      <c r="L342" s="1">
        <v>1.4E-2</v>
      </c>
      <c r="M342" s="1">
        <v>3.1149999999999998E-4</v>
      </c>
      <c r="N342" s="1">
        <v>0</v>
      </c>
    </row>
    <row r="343" spans="1:14">
      <c r="A343" s="1" t="s">
        <v>70</v>
      </c>
      <c r="B343" s="1" t="s">
        <v>176</v>
      </c>
      <c r="C343" s="1">
        <v>114</v>
      </c>
      <c r="D343" s="1" t="s">
        <v>175</v>
      </c>
      <c r="E343" s="1"/>
      <c r="F343" s="1"/>
      <c r="G343" s="1"/>
      <c r="H343" s="1">
        <v>3</v>
      </c>
      <c r="I343" s="1">
        <v>2818</v>
      </c>
      <c r="J343" s="1">
        <v>25.407</v>
      </c>
      <c r="K343" s="1">
        <v>1087</v>
      </c>
      <c r="L343" s="1">
        <v>8.9999999999999993E-3</v>
      </c>
      <c r="M343" s="1">
        <v>3.8890000000000002E-4</v>
      </c>
      <c r="N343" s="1">
        <v>248.524</v>
      </c>
    </row>
    <row r="344" spans="1:14">
      <c r="A344" s="1" t="s">
        <v>70</v>
      </c>
      <c r="B344" s="1" t="s">
        <v>177</v>
      </c>
      <c r="C344" s="1">
        <v>115</v>
      </c>
      <c r="D344" s="1" t="s">
        <v>16</v>
      </c>
      <c r="E344" s="1"/>
      <c r="F344" s="1"/>
      <c r="G344" s="1"/>
      <c r="H344" s="1">
        <v>1</v>
      </c>
      <c r="I344" s="1">
        <v>2624</v>
      </c>
      <c r="J344" s="1">
        <v>47.363999999999997</v>
      </c>
      <c r="K344" s="1">
        <v>813</v>
      </c>
      <c r="L344" s="1">
        <v>1.4E-2</v>
      </c>
      <c r="M344" s="1">
        <v>3.1149999999999998E-4</v>
      </c>
      <c r="N344" s="1">
        <v>2.4E-2</v>
      </c>
    </row>
    <row r="345" spans="1:14">
      <c r="A345" s="1" t="s">
        <v>70</v>
      </c>
      <c r="B345" s="1" t="s">
        <v>177</v>
      </c>
      <c r="C345" s="1">
        <v>115</v>
      </c>
      <c r="D345" s="1" t="s">
        <v>16</v>
      </c>
      <c r="E345" s="1"/>
      <c r="F345" s="1"/>
      <c r="G345" s="1"/>
      <c r="H345" s="1">
        <v>2</v>
      </c>
      <c r="I345" s="1">
        <v>2626</v>
      </c>
      <c r="J345" s="1">
        <v>48.637</v>
      </c>
      <c r="K345" s="1">
        <v>812</v>
      </c>
      <c r="L345" s="1">
        <v>1.4E-2</v>
      </c>
      <c r="M345" s="1">
        <v>3.1149999999999998E-4</v>
      </c>
      <c r="N345" s="1">
        <v>0</v>
      </c>
    </row>
    <row r="346" spans="1:14">
      <c r="A346" s="1" t="s">
        <v>70</v>
      </c>
      <c r="B346" s="1" t="s">
        <v>177</v>
      </c>
      <c r="C346" s="1">
        <v>115</v>
      </c>
      <c r="D346" s="1" t="s">
        <v>16</v>
      </c>
      <c r="E346" s="1"/>
      <c r="F346" s="1"/>
      <c r="G346" s="1"/>
      <c r="H346" s="1">
        <v>3</v>
      </c>
      <c r="I346" s="1">
        <v>2718</v>
      </c>
      <c r="J346" s="1">
        <v>24.733000000000001</v>
      </c>
      <c r="K346" s="1">
        <v>1050</v>
      </c>
      <c r="L346" s="1">
        <v>8.9999999999999993E-3</v>
      </c>
      <c r="M346" s="1">
        <v>3.9130000000000002E-4</v>
      </c>
      <c r="N346" s="1">
        <v>256.24700000000001</v>
      </c>
    </row>
    <row r="347" spans="1:14">
      <c r="A347" s="1" t="s">
        <v>70</v>
      </c>
      <c r="B347" s="1" t="s">
        <v>178</v>
      </c>
      <c r="C347" s="1">
        <v>116</v>
      </c>
      <c r="D347" s="1" t="s">
        <v>16</v>
      </c>
      <c r="E347" s="1"/>
      <c r="F347" s="1"/>
      <c r="G347" s="1"/>
      <c r="H347" s="1">
        <v>1</v>
      </c>
      <c r="I347" s="1">
        <v>2622</v>
      </c>
      <c r="J347" s="1">
        <v>47.328000000000003</v>
      </c>
      <c r="K347" s="1">
        <v>811</v>
      </c>
      <c r="L347" s="1">
        <v>1.4E-2</v>
      </c>
      <c r="M347" s="1">
        <v>3.1169999999999999E-4</v>
      </c>
      <c r="N347" s="1">
        <v>0.57099999999999995</v>
      </c>
    </row>
    <row r="348" spans="1:14">
      <c r="A348" s="1" t="s">
        <v>70</v>
      </c>
      <c r="B348" s="1" t="s">
        <v>178</v>
      </c>
      <c r="C348" s="1">
        <v>116</v>
      </c>
      <c r="D348" s="1" t="s">
        <v>16</v>
      </c>
      <c r="E348" s="1"/>
      <c r="F348" s="1"/>
      <c r="G348" s="1"/>
      <c r="H348" s="1">
        <v>2</v>
      </c>
      <c r="I348" s="1">
        <v>2621</v>
      </c>
      <c r="J348" s="1">
        <v>48.561999999999998</v>
      </c>
      <c r="K348" s="1">
        <v>811</v>
      </c>
      <c r="L348" s="1">
        <v>1.4E-2</v>
      </c>
      <c r="M348" s="1">
        <v>3.1149999999999998E-4</v>
      </c>
      <c r="N348" s="1">
        <v>0</v>
      </c>
    </row>
    <row r="349" spans="1:14">
      <c r="A349" s="1" t="s">
        <v>70</v>
      </c>
      <c r="B349" s="1" t="s">
        <v>178</v>
      </c>
      <c r="C349" s="1">
        <v>116</v>
      </c>
      <c r="D349" s="1" t="s">
        <v>16</v>
      </c>
      <c r="E349" s="1"/>
      <c r="F349" s="1"/>
      <c r="G349" s="1"/>
      <c r="H349" s="1">
        <v>3</v>
      </c>
      <c r="I349" s="1">
        <v>2726</v>
      </c>
      <c r="J349" s="1">
        <v>24.844000000000001</v>
      </c>
      <c r="K349" s="1">
        <v>1052</v>
      </c>
      <c r="L349" s="1">
        <v>8.9999999999999993E-3</v>
      </c>
      <c r="M349" s="1">
        <v>3.9120000000000002E-4</v>
      </c>
      <c r="N349" s="1">
        <v>255.91499999999999</v>
      </c>
    </row>
    <row r="350" spans="1:14">
      <c r="A350" s="1" t="s">
        <v>70</v>
      </c>
      <c r="B350" s="1" t="s">
        <v>179</v>
      </c>
      <c r="C350" s="1">
        <v>117</v>
      </c>
      <c r="D350" s="1" t="s">
        <v>16</v>
      </c>
      <c r="E350" s="1"/>
      <c r="F350" s="1"/>
      <c r="G350" s="1"/>
      <c r="H350" s="1">
        <v>1</v>
      </c>
      <c r="I350" s="1">
        <v>2623</v>
      </c>
      <c r="J350" s="1">
        <v>47.326000000000001</v>
      </c>
      <c r="K350" s="1">
        <v>811</v>
      </c>
      <c r="L350" s="1">
        <v>1.4E-2</v>
      </c>
      <c r="M350" s="1">
        <v>3.1129999999999998E-4</v>
      </c>
      <c r="N350" s="1">
        <v>-0.71499999999999997</v>
      </c>
    </row>
    <row r="351" spans="1:14">
      <c r="A351" s="1" t="s">
        <v>70</v>
      </c>
      <c r="B351" s="1" t="s">
        <v>179</v>
      </c>
      <c r="C351" s="1">
        <v>117</v>
      </c>
      <c r="D351" s="1" t="s">
        <v>16</v>
      </c>
      <c r="E351" s="1"/>
      <c r="F351" s="1"/>
      <c r="G351" s="1"/>
      <c r="H351" s="1">
        <v>2</v>
      </c>
      <c r="I351" s="1">
        <v>2622</v>
      </c>
      <c r="J351" s="1">
        <v>48.54</v>
      </c>
      <c r="K351" s="1">
        <v>810</v>
      </c>
      <c r="L351" s="1">
        <v>1.4E-2</v>
      </c>
      <c r="M351" s="1">
        <v>3.1149999999999998E-4</v>
      </c>
      <c r="N351" s="1">
        <v>0</v>
      </c>
    </row>
    <row r="352" spans="1:14">
      <c r="A352" s="1" t="s">
        <v>70</v>
      </c>
      <c r="B352" s="1" t="s">
        <v>179</v>
      </c>
      <c r="C352" s="1">
        <v>117</v>
      </c>
      <c r="D352" s="1" t="s">
        <v>16</v>
      </c>
      <c r="E352" s="1"/>
      <c r="F352" s="1"/>
      <c r="G352" s="1"/>
      <c r="H352" s="1">
        <v>3</v>
      </c>
      <c r="I352" s="1">
        <v>2778</v>
      </c>
      <c r="J352" s="1">
        <v>25.497</v>
      </c>
      <c r="K352" s="1">
        <v>1074</v>
      </c>
      <c r="L352" s="1">
        <v>8.9999999999999993E-3</v>
      </c>
      <c r="M352" s="1">
        <v>3.9219999999999999E-4</v>
      </c>
      <c r="N352" s="1">
        <v>259.02499999999998</v>
      </c>
    </row>
    <row r="353" spans="1:14">
      <c r="A353" s="1" t="s">
        <v>70</v>
      </c>
      <c r="B353" s="1" t="s">
        <v>180</v>
      </c>
      <c r="C353" s="1">
        <v>118</v>
      </c>
      <c r="D353" s="1" t="s">
        <v>20</v>
      </c>
      <c r="E353" s="1"/>
      <c r="F353" s="1"/>
      <c r="G353" s="1"/>
      <c r="H353" s="1">
        <v>1</v>
      </c>
      <c r="I353" s="1">
        <v>2625</v>
      </c>
      <c r="J353" s="1">
        <v>47.442999999999998</v>
      </c>
      <c r="K353" s="1">
        <v>812</v>
      </c>
      <c r="L353" s="1">
        <v>1.4E-2</v>
      </c>
      <c r="M353" s="1">
        <v>3.1159999999999998E-4</v>
      </c>
      <c r="N353" s="1">
        <v>0.26500000000000001</v>
      </c>
    </row>
    <row r="354" spans="1:14">
      <c r="A354" s="1" t="s">
        <v>70</v>
      </c>
      <c r="B354" s="1" t="s">
        <v>180</v>
      </c>
      <c r="C354" s="1">
        <v>118</v>
      </c>
      <c r="D354" s="1" t="s">
        <v>20</v>
      </c>
      <c r="E354" s="1"/>
      <c r="F354" s="1"/>
      <c r="G354" s="1"/>
      <c r="H354" s="1">
        <v>2</v>
      </c>
      <c r="I354" s="1">
        <v>2626</v>
      </c>
      <c r="J354" s="1">
        <v>48.54</v>
      </c>
      <c r="K354" s="1">
        <v>812</v>
      </c>
      <c r="L354" s="1">
        <v>1.4E-2</v>
      </c>
      <c r="M354" s="1">
        <v>3.1149999999999998E-4</v>
      </c>
      <c r="N354" s="1">
        <v>0</v>
      </c>
    </row>
    <row r="355" spans="1:14">
      <c r="A355" s="1" t="s">
        <v>70</v>
      </c>
      <c r="B355" s="1" t="s">
        <v>180</v>
      </c>
      <c r="C355" s="1">
        <v>118</v>
      </c>
      <c r="D355" s="1" t="s">
        <v>20</v>
      </c>
      <c r="E355" s="1"/>
      <c r="F355" s="1"/>
      <c r="G355" s="1"/>
      <c r="H355" s="1">
        <v>3</v>
      </c>
      <c r="I355" s="1">
        <v>2793</v>
      </c>
      <c r="J355" s="1">
        <v>25.39</v>
      </c>
      <c r="K355" s="1">
        <v>1041</v>
      </c>
      <c r="L355" s="1">
        <v>8.9999999999999993E-3</v>
      </c>
      <c r="M355" s="1">
        <v>3.7599999999999998E-4</v>
      </c>
      <c r="N355" s="1">
        <v>207.12299999999999</v>
      </c>
    </row>
    <row r="356" spans="1:14">
      <c r="A356" s="1" t="s">
        <v>70</v>
      </c>
      <c r="B356" s="1" t="s">
        <v>181</v>
      </c>
      <c r="C356" s="1">
        <v>119</v>
      </c>
      <c r="D356" s="1" t="s">
        <v>20</v>
      </c>
      <c r="E356" s="1"/>
      <c r="F356" s="1"/>
      <c r="G356" s="1"/>
      <c r="H356" s="1">
        <v>1</v>
      </c>
      <c r="I356" s="1">
        <v>2626</v>
      </c>
      <c r="J356" s="1">
        <v>47.445</v>
      </c>
      <c r="K356" s="1">
        <v>812</v>
      </c>
      <c r="L356" s="1">
        <v>1.4E-2</v>
      </c>
      <c r="M356" s="1">
        <v>3.1159999999999998E-4</v>
      </c>
      <c r="N356" s="1">
        <v>0.24</v>
      </c>
    </row>
    <row r="357" spans="1:14">
      <c r="A357" s="1" t="s">
        <v>70</v>
      </c>
      <c r="B357" s="1" t="s">
        <v>181</v>
      </c>
      <c r="C357" s="1">
        <v>119</v>
      </c>
      <c r="D357" s="1" t="s">
        <v>20</v>
      </c>
      <c r="E357" s="1"/>
      <c r="F357" s="1"/>
      <c r="G357" s="1"/>
      <c r="H357" s="1">
        <v>2</v>
      </c>
      <c r="I357" s="1">
        <v>2623</v>
      </c>
      <c r="J357" s="1">
        <v>48.271999999999998</v>
      </c>
      <c r="K357" s="1">
        <v>811</v>
      </c>
      <c r="L357" s="1">
        <v>1.4E-2</v>
      </c>
      <c r="M357" s="1">
        <v>3.1149999999999998E-4</v>
      </c>
      <c r="N357" s="1">
        <v>0</v>
      </c>
    </row>
    <row r="358" spans="1:14">
      <c r="A358" s="1" t="s">
        <v>70</v>
      </c>
      <c r="B358" s="1" t="s">
        <v>181</v>
      </c>
      <c r="C358" s="1">
        <v>119</v>
      </c>
      <c r="D358" s="1" t="s">
        <v>20</v>
      </c>
      <c r="E358" s="1"/>
      <c r="F358" s="1"/>
      <c r="G358" s="1"/>
      <c r="H358" s="1">
        <v>3</v>
      </c>
      <c r="I358" s="1">
        <v>2769</v>
      </c>
      <c r="J358" s="1">
        <v>25.129000000000001</v>
      </c>
      <c r="K358" s="1">
        <v>1032</v>
      </c>
      <c r="L358" s="1">
        <v>8.9999999999999993E-3</v>
      </c>
      <c r="M358" s="1">
        <v>3.7750000000000001E-4</v>
      </c>
      <c r="N358" s="1">
        <v>211.84700000000001</v>
      </c>
    </row>
    <row r="359" spans="1:14">
      <c r="A359" s="1" t="s">
        <v>70</v>
      </c>
      <c r="B359" s="1" t="s">
        <v>182</v>
      </c>
      <c r="C359" s="1">
        <v>120</v>
      </c>
      <c r="D359" s="1" t="s">
        <v>20</v>
      </c>
      <c r="E359" s="1"/>
      <c r="F359" s="1"/>
      <c r="G359" s="1"/>
      <c r="H359" s="1">
        <v>1</v>
      </c>
      <c r="I359" s="1">
        <v>2619</v>
      </c>
      <c r="J359" s="1">
        <v>47.326000000000001</v>
      </c>
      <c r="K359" s="1">
        <v>809</v>
      </c>
      <c r="L359" s="1">
        <v>1.4E-2</v>
      </c>
      <c r="M359" s="1">
        <v>3.1119999999999997E-4</v>
      </c>
      <c r="N359" s="1">
        <v>-1.085</v>
      </c>
    </row>
    <row r="360" spans="1:14">
      <c r="A360" s="1" t="s">
        <v>70</v>
      </c>
      <c r="B360" s="1" t="s">
        <v>182</v>
      </c>
      <c r="C360" s="1">
        <v>120</v>
      </c>
      <c r="D360" s="1" t="s">
        <v>20</v>
      </c>
      <c r="E360" s="1"/>
      <c r="F360" s="1"/>
      <c r="G360" s="1"/>
      <c r="H360" s="1">
        <v>2</v>
      </c>
      <c r="I360" s="1">
        <v>2619</v>
      </c>
      <c r="J360" s="1">
        <v>48.421999999999997</v>
      </c>
      <c r="K360" s="1">
        <v>809</v>
      </c>
      <c r="L360" s="1">
        <v>1.4E-2</v>
      </c>
      <c r="M360" s="1">
        <v>3.1149999999999998E-4</v>
      </c>
      <c r="N360" s="1">
        <v>0</v>
      </c>
    </row>
    <row r="361" spans="1:14">
      <c r="A361" s="1" t="s">
        <v>70</v>
      </c>
      <c r="B361" s="1" t="s">
        <v>182</v>
      </c>
      <c r="C361" s="1">
        <v>120</v>
      </c>
      <c r="D361" s="1" t="s">
        <v>20</v>
      </c>
      <c r="E361" s="1"/>
      <c r="F361" s="1"/>
      <c r="G361" s="1"/>
      <c r="H361" s="1">
        <v>3</v>
      </c>
      <c r="I361" s="1">
        <v>2729</v>
      </c>
      <c r="J361" s="1">
        <v>24.879000000000001</v>
      </c>
      <c r="K361" s="1">
        <v>1015</v>
      </c>
      <c r="L361" s="1">
        <v>8.9999999999999993E-3</v>
      </c>
      <c r="M361" s="1">
        <v>3.7550000000000002E-4</v>
      </c>
      <c r="N361" s="1">
        <v>205.52600000000001</v>
      </c>
    </row>
    <row r="362" spans="1:14">
      <c r="A362" s="1" t="s">
        <v>70</v>
      </c>
      <c r="B362" s="1" t="s">
        <v>183</v>
      </c>
      <c r="C362" s="1">
        <v>121</v>
      </c>
      <c r="D362" s="1" t="s">
        <v>24</v>
      </c>
      <c r="E362" s="1"/>
      <c r="F362" s="1"/>
      <c r="G362" s="1"/>
      <c r="H362" s="1">
        <v>1</v>
      </c>
      <c r="I362" s="1">
        <v>2618</v>
      </c>
      <c r="J362" s="1">
        <v>47.564999999999998</v>
      </c>
      <c r="K362" s="1">
        <v>810</v>
      </c>
      <c r="L362" s="1">
        <v>1.4E-2</v>
      </c>
      <c r="M362" s="1">
        <v>3.1149999999999998E-4</v>
      </c>
      <c r="N362" s="1">
        <v>-0.11600000000000001</v>
      </c>
    </row>
    <row r="363" spans="1:14">
      <c r="A363" s="1" t="s">
        <v>70</v>
      </c>
      <c r="B363" s="1" t="s">
        <v>183</v>
      </c>
      <c r="C363" s="1">
        <v>121</v>
      </c>
      <c r="D363" s="1" t="s">
        <v>24</v>
      </c>
      <c r="E363" s="1"/>
      <c r="F363" s="1"/>
      <c r="G363" s="1"/>
      <c r="H363" s="1">
        <v>2</v>
      </c>
      <c r="I363" s="1">
        <v>2619</v>
      </c>
      <c r="J363" s="1">
        <v>48.475000000000001</v>
      </c>
      <c r="K363" s="1">
        <v>809</v>
      </c>
      <c r="L363" s="1">
        <v>1.4E-2</v>
      </c>
      <c r="M363" s="1">
        <v>3.1149999999999998E-4</v>
      </c>
      <c r="N363" s="1">
        <v>0</v>
      </c>
    </row>
    <row r="364" spans="1:14">
      <c r="A364" s="1" t="s">
        <v>70</v>
      </c>
      <c r="B364" s="1" t="s">
        <v>183</v>
      </c>
      <c r="C364" s="1">
        <v>121</v>
      </c>
      <c r="D364" s="1" t="s">
        <v>24</v>
      </c>
      <c r="E364" s="1"/>
      <c r="F364" s="1"/>
      <c r="G364" s="1"/>
      <c r="H364" s="1">
        <v>3</v>
      </c>
      <c r="I364" s="1">
        <v>2786</v>
      </c>
      <c r="J364" s="1">
        <v>25.381</v>
      </c>
      <c r="K364" s="1">
        <v>1004</v>
      </c>
      <c r="L364" s="1">
        <v>8.0000000000000002E-3</v>
      </c>
      <c r="M364" s="1">
        <v>3.6380000000000001E-4</v>
      </c>
      <c r="N364" s="1">
        <v>167.74100000000001</v>
      </c>
    </row>
    <row r="365" spans="1:14">
      <c r="A365" s="1" t="s">
        <v>70</v>
      </c>
      <c r="B365" s="1" t="s">
        <v>184</v>
      </c>
      <c r="C365" s="1">
        <v>122</v>
      </c>
      <c r="D365" s="1" t="s">
        <v>24</v>
      </c>
      <c r="E365" s="1"/>
      <c r="F365" s="1"/>
      <c r="G365" s="1"/>
      <c r="H365" s="1">
        <v>1</v>
      </c>
      <c r="I365" s="1">
        <v>2621</v>
      </c>
      <c r="J365" s="1">
        <v>47.540999999999997</v>
      </c>
      <c r="K365" s="1">
        <v>812</v>
      </c>
      <c r="L365" s="1">
        <v>1.4E-2</v>
      </c>
      <c r="M365" s="1">
        <v>3.1179999999999999E-4</v>
      </c>
      <c r="N365" s="1">
        <v>1.0329999999999999</v>
      </c>
    </row>
    <row r="366" spans="1:14">
      <c r="A366" s="1" t="s">
        <v>70</v>
      </c>
      <c r="B366" s="1" t="s">
        <v>184</v>
      </c>
      <c r="C366" s="1">
        <v>122</v>
      </c>
      <c r="D366" s="1" t="s">
        <v>24</v>
      </c>
      <c r="E366" s="1"/>
      <c r="F366" s="1"/>
      <c r="G366" s="1"/>
      <c r="H366" s="1">
        <v>2</v>
      </c>
      <c r="I366" s="1">
        <v>2626</v>
      </c>
      <c r="J366" s="1">
        <v>48.584000000000003</v>
      </c>
      <c r="K366" s="1">
        <v>812</v>
      </c>
      <c r="L366" s="1">
        <v>1.4E-2</v>
      </c>
      <c r="M366" s="1">
        <v>3.1149999999999998E-4</v>
      </c>
      <c r="N366" s="1">
        <v>0</v>
      </c>
    </row>
    <row r="367" spans="1:14">
      <c r="A367" s="1" t="s">
        <v>70</v>
      </c>
      <c r="B367" s="1" t="s">
        <v>184</v>
      </c>
      <c r="C367" s="1">
        <v>122</v>
      </c>
      <c r="D367" s="1" t="s">
        <v>24</v>
      </c>
      <c r="E367" s="1"/>
      <c r="F367" s="1"/>
      <c r="G367" s="1"/>
      <c r="H367" s="1">
        <v>3</v>
      </c>
      <c r="I367" s="1">
        <v>2725</v>
      </c>
      <c r="J367" s="1">
        <v>24.742000000000001</v>
      </c>
      <c r="K367" s="1">
        <v>981</v>
      </c>
      <c r="L367" s="1">
        <v>8.0000000000000002E-3</v>
      </c>
      <c r="M367" s="1">
        <v>3.6299999999999999E-4</v>
      </c>
      <c r="N367" s="1">
        <v>165.31</v>
      </c>
    </row>
    <row r="368" spans="1:14">
      <c r="A368" s="1" t="s">
        <v>70</v>
      </c>
      <c r="B368" s="1" t="s">
        <v>185</v>
      </c>
      <c r="C368" s="1">
        <v>123</v>
      </c>
      <c r="D368" s="1" t="s">
        <v>24</v>
      </c>
      <c r="E368" s="1"/>
      <c r="F368" s="1"/>
      <c r="G368" s="1"/>
      <c r="H368" s="1">
        <v>1</v>
      </c>
      <c r="I368" s="1">
        <v>2616</v>
      </c>
      <c r="J368" s="1">
        <v>47.222000000000001</v>
      </c>
      <c r="K368" s="1">
        <v>809</v>
      </c>
      <c r="L368" s="1">
        <v>1.4E-2</v>
      </c>
      <c r="M368" s="1">
        <v>3.1159999999999998E-4</v>
      </c>
      <c r="N368" s="1">
        <v>0.26</v>
      </c>
    </row>
    <row r="369" spans="1:14">
      <c r="A369" s="1" t="s">
        <v>70</v>
      </c>
      <c r="B369" s="1" t="s">
        <v>185</v>
      </c>
      <c r="C369" s="1">
        <v>123</v>
      </c>
      <c r="D369" s="1" t="s">
        <v>24</v>
      </c>
      <c r="E369" s="1"/>
      <c r="F369" s="1"/>
      <c r="G369" s="1"/>
      <c r="H369" s="1">
        <v>2</v>
      </c>
      <c r="I369" s="1">
        <v>2620</v>
      </c>
      <c r="J369" s="1">
        <v>48.472999999999999</v>
      </c>
      <c r="K369" s="1">
        <v>810</v>
      </c>
      <c r="L369" s="1">
        <v>1.4E-2</v>
      </c>
      <c r="M369" s="1">
        <v>3.1149999999999998E-4</v>
      </c>
      <c r="N369" s="1">
        <v>0</v>
      </c>
    </row>
    <row r="370" spans="1:14">
      <c r="A370" s="1" t="s">
        <v>70</v>
      </c>
      <c r="B370" s="1" t="s">
        <v>185</v>
      </c>
      <c r="C370" s="1">
        <v>123</v>
      </c>
      <c r="D370" s="1" t="s">
        <v>24</v>
      </c>
      <c r="E370" s="1"/>
      <c r="F370" s="1"/>
      <c r="G370" s="1"/>
      <c r="H370" s="1">
        <v>3</v>
      </c>
      <c r="I370" s="1">
        <v>2739</v>
      </c>
      <c r="J370" s="1">
        <v>24.966000000000001</v>
      </c>
      <c r="K370" s="1">
        <v>986</v>
      </c>
      <c r="L370" s="1">
        <v>8.0000000000000002E-3</v>
      </c>
      <c r="M370" s="1">
        <v>3.6299999999999999E-4</v>
      </c>
      <c r="N370" s="1">
        <v>165.476</v>
      </c>
    </row>
    <row r="371" spans="1:14">
      <c r="A371" s="1" t="s">
        <v>70</v>
      </c>
      <c r="B371" s="1" t="s">
        <v>186</v>
      </c>
      <c r="C371" s="1">
        <v>124</v>
      </c>
      <c r="D371" s="1" t="s">
        <v>28</v>
      </c>
      <c r="E371" s="1"/>
      <c r="F371" s="1"/>
      <c r="G371" s="1"/>
      <c r="H371" s="1">
        <v>1</v>
      </c>
      <c r="I371" s="1">
        <v>2617</v>
      </c>
      <c r="J371" s="1">
        <v>47.341000000000001</v>
      </c>
      <c r="K371" s="1">
        <v>809</v>
      </c>
      <c r="L371" s="1">
        <v>1.4E-2</v>
      </c>
      <c r="M371" s="1">
        <v>3.1129999999999998E-4</v>
      </c>
      <c r="N371" s="1">
        <v>-0.49099999999999999</v>
      </c>
    </row>
    <row r="372" spans="1:14">
      <c r="A372" s="1" t="s">
        <v>70</v>
      </c>
      <c r="B372" s="1" t="s">
        <v>186</v>
      </c>
      <c r="C372" s="1">
        <v>124</v>
      </c>
      <c r="D372" s="1" t="s">
        <v>28</v>
      </c>
      <c r="E372" s="1"/>
      <c r="F372" s="1"/>
      <c r="G372" s="1"/>
      <c r="H372" s="1">
        <v>2</v>
      </c>
      <c r="I372" s="1">
        <v>2618</v>
      </c>
      <c r="J372" s="1">
        <v>48.402000000000001</v>
      </c>
      <c r="K372" s="1">
        <v>809</v>
      </c>
      <c r="L372" s="1">
        <v>1.4E-2</v>
      </c>
      <c r="M372" s="1">
        <v>3.1149999999999998E-4</v>
      </c>
      <c r="N372" s="1">
        <v>0</v>
      </c>
    </row>
    <row r="373" spans="1:14">
      <c r="A373" s="1" t="s">
        <v>70</v>
      </c>
      <c r="B373" s="1" t="s">
        <v>186</v>
      </c>
      <c r="C373" s="1">
        <v>124</v>
      </c>
      <c r="D373" s="1" t="s">
        <v>28</v>
      </c>
      <c r="E373" s="1"/>
      <c r="F373" s="1"/>
      <c r="G373" s="1"/>
      <c r="H373" s="1">
        <v>3</v>
      </c>
      <c r="I373" s="1">
        <v>2732</v>
      </c>
      <c r="J373" s="1">
        <v>24.815999999999999</v>
      </c>
      <c r="K373" s="1">
        <v>964</v>
      </c>
      <c r="L373" s="1">
        <v>8.0000000000000002E-3</v>
      </c>
      <c r="M373" s="1">
        <v>3.5490000000000001E-4</v>
      </c>
      <c r="N373" s="1">
        <v>139.352</v>
      </c>
    </row>
    <row r="374" spans="1:14">
      <c r="A374" s="1" t="s">
        <v>70</v>
      </c>
      <c r="B374" s="1" t="s">
        <v>187</v>
      </c>
      <c r="C374" s="1">
        <v>125</v>
      </c>
      <c r="D374" s="1" t="s">
        <v>28</v>
      </c>
      <c r="E374" s="1"/>
      <c r="F374" s="1"/>
      <c r="G374" s="1"/>
      <c r="H374" s="1">
        <v>1</v>
      </c>
      <c r="I374" s="1">
        <v>2618</v>
      </c>
      <c r="J374" s="1">
        <v>47.287999999999997</v>
      </c>
      <c r="K374" s="1">
        <v>810</v>
      </c>
      <c r="L374" s="1">
        <v>1.4E-2</v>
      </c>
      <c r="M374" s="1">
        <v>3.1159999999999998E-4</v>
      </c>
      <c r="N374" s="1">
        <v>0.46300000000000002</v>
      </c>
    </row>
    <row r="375" spans="1:14">
      <c r="A375" s="1" t="s">
        <v>70</v>
      </c>
      <c r="B375" s="1" t="s">
        <v>187</v>
      </c>
      <c r="C375" s="1">
        <v>125</v>
      </c>
      <c r="D375" s="1" t="s">
        <v>28</v>
      </c>
      <c r="E375" s="1"/>
      <c r="F375" s="1"/>
      <c r="G375" s="1"/>
      <c r="H375" s="1">
        <v>2</v>
      </c>
      <c r="I375" s="1">
        <v>2619</v>
      </c>
      <c r="J375" s="1">
        <v>48.456000000000003</v>
      </c>
      <c r="K375" s="1">
        <v>809</v>
      </c>
      <c r="L375" s="1">
        <v>1.4E-2</v>
      </c>
      <c r="M375" s="1">
        <v>3.1149999999999998E-4</v>
      </c>
      <c r="N375" s="1">
        <v>0</v>
      </c>
    </row>
    <row r="376" spans="1:14">
      <c r="A376" s="1" t="s">
        <v>70</v>
      </c>
      <c r="B376" s="1" t="s">
        <v>187</v>
      </c>
      <c r="C376" s="1">
        <v>125</v>
      </c>
      <c r="D376" s="1" t="s">
        <v>28</v>
      </c>
      <c r="E376" s="1"/>
      <c r="F376" s="1"/>
      <c r="G376" s="1"/>
      <c r="H376" s="1">
        <v>3</v>
      </c>
      <c r="I376" s="1">
        <v>2787</v>
      </c>
      <c r="J376" s="1">
        <v>25.276</v>
      </c>
      <c r="K376" s="1">
        <v>982</v>
      </c>
      <c r="L376" s="1">
        <v>8.0000000000000002E-3</v>
      </c>
      <c r="M376" s="1">
        <v>3.546E-4</v>
      </c>
      <c r="N376" s="1">
        <v>138.31399999999999</v>
      </c>
    </row>
    <row r="377" spans="1:14">
      <c r="A377" s="1" t="s">
        <v>70</v>
      </c>
      <c r="B377" s="1" t="s">
        <v>188</v>
      </c>
      <c r="C377" s="1">
        <v>126</v>
      </c>
      <c r="D377" s="1" t="s">
        <v>28</v>
      </c>
      <c r="E377" s="1"/>
      <c r="F377" s="1"/>
      <c r="G377" s="1"/>
      <c r="H377" s="1">
        <v>1</v>
      </c>
      <c r="I377" s="1">
        <v>2615</v>
      </c>
      <c r="J377" s="1">
        <v>47.286999999999999</v>
      </c>
      <c r="K377" s="1">
        <v>809</v>
      </c>
      <c r="L377" s="1">
        <v>1.4E-2</v>
      </c>
      <c r="M377" s="1">
        <v>3.1139999999999998E-4</v>
      </c>
      <c r="N377" s="1">
        <v>-0.311</v>
      </c>
    </row>
    <row r="378" spans="1:14">
      <c r="A378" s="1" t="s">
        <v>70</v>
      </c>
      <c r="B378" s="1" t="s">
        <v>188</v>
      </c>
      <c r="C378" s="1">
        <v>126</v>
      </c>
      <c r="D378" s="1" t="s">
        <v>28</v>
      </c>
      <c r="E378" s="1"/>
      <c r="F378" s="1"/>
      <c r="G378" s="1"/>
      <c r="H378" s="1">
        <v>2</v>
      </c>
      <c r="I378" s="1">
        <v>2616</v>
      </c>
      <c r="J378" s="1">
        <v>48.405999999999999</v>
      </c>
      <c r="K378" s="1">
        <v>809</v>
      </c>
      <c r="L378" s="1">
        <v>1.4E-2</v>
      </c>
      <c r="M378" s="1">
        <v>3.1149999999999998E-4</v>
      </c>
      <c r="N378" s="1">
        <v>0</v>
      </c>
    </row>
    <row r="379" spans="1:14">
      <c r="A379" s="1" t="s">
        <v>70</v>
      </c>
      <c r="B379" s="1" t="s">
        <v>188</v>
      </c>
      <c r="C379" s="1">
        <v>126</v>
      </c>
      <c r="D379" s="1" t="s">
        <v>28</v>
      </c>
      <c r="E379" s="1"/>
      <c r="F379" s="1"/>
      <c r="G379" s="1"/>
      <c r="H379" s="1">
        <v>3</v>
      </c>
      <c r="I379" s="1">
        <v>2747</v>
      </c>
      <c r="J379" s="1">
        <v>24.853999999999999</v>
      </c>
      <c r="K379" s="1">
        <v>968</v>
      </c>
      <c r="L379" s="1">
        <v>8.0000000000000002E-3</v>
      </c>
      <c r="M379" s="1">
        <v>3.5490000000000001E-4</v>
      </c>
      <c r="N379" s="1">
        <v>139.26599999999999</v>
      </c>
    </row>
  </sheetData>
  <autoFilter ref="A1:N379" xr:uid="{00000000-0009-0000-0000-000000000000}"/>
  <pageMargins left="0.75" right="0.75" top="1" bottom="1" header="0.5" footer="0.5"/>
  <pageSetup paperSize="9" orientation="portrait"/>
  <headerFooter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6"/>
  <sheetViews>
    <sheetView tabSelected="1" workbookViewId="0"/>
  </sheetViews>
  <sheetFormatPr defaultRowHeight="12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 spans="1:16">
      <c r="A2" s="1" t="s">
        <v>14</v>
      </c>
      <c r="B2" s="1" t="s">
        <v>15</v>
      </c>
      <c r="C2" s="1">
        <v>1</v>
      </c>
      <c r="D2" s="1" t="s">
        <v>16</v>
      </c>
      <c r="E2" s="1"/>
      <c r="F2" s="1"/>
      <c r="G2" s="1"/>
      <c r="H2" s="1">
        <v>4</v>
      </c>
      <c r="I2" s="1">
        <v>4895</v>
      </c>
      <c r="J2" s="1">
        <v>5460</v>
      </c>
      <c r="K2" s="1">
        <v>3337</v>
      </c>
      <c r="L2" s="1">
        <v>54.405000000000001</v>
      </c>
      <c r="M2" s="1">
        <v>0.61099999999999999</v>
      </c>
      <c r="N2" s="1">
        <v>0.112</v>
      </c>
      <c r="O2" s="1">
        <v>2.0092E-3</v>
      </c>
      <c r="P2" s="1">
        <v>1.974</v>
      </c>
    </row>
    <row r="3" spans="1:16">
      <c r="A3" s="1" t="s">
        <v>14</v>
      </c>
      <c r="B3" s="1" t="s">
        <v>15</v>
      </c>
      <c r="C3" s="1">
        <v>1</v>
      </c>
      <c r="D3" s="1" t="s">
        <v>16</v>
      </c>
      <c r="E3" s="1"/>
      <c r="F3" s="1"/>
      <c r="G3" s="1"/>
      <c r="H3" s="1">
        <v>5</v>
      </c>
      <c r="I3" s="1">
        <v>5866</v>
      </c>
      <c r="J3" s="1">
        <v>6445</v>
      </c>
      <c r="K3" s="1">
        <v>4014</v>
      </c>
      <c r="L3" s="1">
        <v>109.857</v>
      </c>
      <c r="M3" s="1">
        <v>1.2070000000000001</v>
      </c>
      <c r="N3" s="1">
        <v>0.22600000000000001</v>
      </c>
      <c r="O3" s="1">
        <v>2.0054999999999999E-3</v>
      </c>
      <c r="P3" s="1">
        <v>0.16300000000000001</v>
      </c>
    </row>
    <row r="4" spans="1:16">
      <c r="A4" s="1" t="s">
        <v>14</v>
      </c>
      <c r="B4" s="1" t="s">
        <v>15</v>
      </c>
      <c r="C4" s="1">
        <v>1</v>
      </c>
      <c r="D4" s="1" t="s">
        <v>16</v>
      </c>
      <c r="E4" s="1"/>
      <c r="F4" s="1"/>
      <c r="G4" s="1"/>
      <c r="H4" s="1">
        <v>6</v>
      </c>
      <c r="I4" s="1">
        <v>5854</v>
      </c>
      <c r="J4" s="1">
        <v>6431</v>
      </c>
      <c r="K4" s="1">
        <v>4004</v>
      </c>
      <c r="L4" s="1">
        <v>110.663</v>
      </c>
      <c r="M4" s="1">
        <v>1.216</v>
      </c>
      <c r="N4" s="1">
        <v>0.22700000000000001</v>
      </c>
      <c r="O4" s="1">
        <v>2.0052E-3</v>
      </c>
      <c r="P4" s="1">
        <v>0</v>
      </c>
    </row>
    <row r="5" spans="1:16">
      <c r="A5" s="1" t="s">
        <v>14</v>
      </c>
      <c r="B5" s="1" t="s">
        <v>17</v>
      </c>
      <c r="C5" s="1">
        <v>2</v>
      </c>
      <c r="D5" s="1" t="s">
        <v>16</v>
      </c>
      <c r="E5" s="1"/>
      <c r="F5" s="1"/>
      <c r="G5" s="1"/>
      <c r="H5" s="1">
        <v>4</v>
      </c>
      <c r="I5" s="1">
        <v>4923</v>
      </c>
      <c r="J5" s="1">
        <v>5492</v>
      </c>
      <c r="K5" s="1">
        <v>3356</v>
      </c>
      <c r="L5" s="1">
        <v>54.344999999999999</v>
      </c>
      <c r="M5" s="1">
        <v>0.61099999999999999</v>
      </c>
      <c r="N5" s="1">
        <v>0.112</v>
      </c>
      <c r="O5" s="1">
        <v>2.0092E-3</v>
      </c>
      <c r="P5" s="1">
        <v>2</v>
      </c>
    </row>
    <row r="6" spans="1:16">
      <c r="A6" s="1" t="s">
        <v>14</v>
      </c>
      <c r="B6" s="1" t="s">
        <v>17</v>
      </c>
      <c r="C6" s="1">
        <v>2</v>
      </c>
      <c r="D6" s="1" t="s">
        <v>16</v>
      </c>
      <c r="E6" s="1"/>
      <c r="F6" s="1"/>
      <c r="G6" s="1"/>
      <c r="H6" s="1">
        <v>5</v>
      </c>
      <c r="I6" s="1">
        <v>5875</v>
      </c>
      <c r="J6" s="1">
        <v>6455</v>
      </c>
      <c r="K6" s="1">
        <v>4019</v>
      </c>
      <c r="L6" s="1">
        <v>110.512</v>
      </c>
      <c r="M6" s="1">
        <v>1.214</v>
      </c>
      <c r="N6" s="1">
        <v>0.22700000000000001</v>
      </c>
      <c r="O6" s="1">
        <v>2.0052999999999998E-3</v>
      </c>
      <c r="P6" s="1">
        <v>7.0000000000000007E-2</v>
      </c>
    </row>
    <row r="7" spans="1:16">
      <c r="A7" s="1" t="s">
        <v>14</v>
      </c>
      <c r="B7" s="1" t="s">
        <v>17</v>
      </c>
      <c r="C7" s="1">
        <v>2</v>
      </c>
      <c r="D7" s="1" t="s">
        <v>16</v>
      </c>
      <c r="E7" s="1"/>
      <c r="F7" s="1"/>
      <c r="G7" s="1"/>
      <c r="H7" s="1">
        <v>6</v>
      </c>
      <c r="I7" s="1">
        <v>5878</v>
      </c>
      <c r="J7" s="1">
        <v>6456</v>
      </c>
      <c r="K7" s="1">
        <v>4021</v>
      </c>
      <c r="L7" s="1">
        <v>111.247</v>
      </c>
      <c r="M7" s="1">
        <v>1.222</v>
      </c>
      <c r="N7" s="1">
        <v>0.22800000000000001</v>
      </c>
      <c r="O7" s="1">
        <v>2.0052E-3</v>
      </c>
      <c r="P7" s="1">
        <v>0</v>
      </c>
    </row>
    <row r="8" spans="1:16">
      <c r="A8" s="1" t="s">
        <v>14</v>
      </c>
      <c r="B8" s="1" t="s">
        <v>18</v>
      </c>
      <c r="C8" s="1">
        <v>3</v>
      </c>
      <c r="D8" s="1" t="s">
        <v>16</v>
      </c>
      <c r="E8" s="1"/>
      <c r="F8" s="1"/>
      <c r="G8" s="1"/>
      <c r="H8" s="1">
        <v>4</v>
      </c>
      <c r="I8" s="1">
        <v>4925</v>
      </c>
      <c r="J8" s="1">
        <v>5492</v>
      </c>
      <c r="K8" s="1">
        <v>3357</v>
      </c>
      <c r="L8" s="1">
        <v>54.317999999999998</v>
      </c>
      <c r="M8" s="1">
        <v>0.61</v>
      </c>
      <c r="N8" s="1">
        <v>0.112</v>
      </c>
      <c r="O8" s="1">
        <v>2.0089999999999999E-3</v>
      </c>
      <c r="P8" s="1">
        <v>1.909</v>
      </c>
    </row>
    <row r="9" spans="1:16">
      <c r="A9" s="1" t="s">
        <v>14</v>
      </c>
      <c r="B9" s="1" t="s">
        <v>18</v>
      </c>
      <c r="C9" s="1">
        <v>3</v>
      </c>
      <c r="D9" s="1" t="s">
        <v>16</v>
      </c>
      <c r="E9" s="1"/>
      <c r="F9" s="1"/>
      <c r="G9" s="1"/>
      <c r="H9" s="1">
        <v>5</v>
      </c>
      <c r="I9" s="1">
        <v>5850</v>
      </c>
      <c r="J9" s="1">
        <v>6426</v>
      </c>
      <c r="K9" s="1">
        <v>4001</v>
      </c>
      <c r="L9" s="1">
        <v>110.098</v>
      </c>
      <c r="M9" s="1">
        <v>1.21</v>
      </c>
      <c r="N9" s="1">
        <v>0.22600000000000001</v>
      </c>
      <c r="O9" s="1">
        <v>2.0054999999999999E-3</v>
      </c>
      <c r="P9" s="1">
        <v>0.14000000000000001</v>
      </c>
    </row>
    <row r="10" spans="1:16">
      <c r="A10" s="1" t="s">
        <v>14</v>
      </c>
      <c r="B10" s="1" t="s">
        <v>18</v>
      </c>
      <c r="C10" s="1">
        <v>3</v>
      </c>
      <c r="D10" s="1" t="s">
        <v>16</v>
      </c>
      <c r="E10" s="1"/>
      <c r="F10" s="1"/>
      <c r="G10" s="1"/>
      <c r="H10" s="1">
        <v>6</v>
      </c>
      <c r="I10" s="1">
        <v>5854</v>
      </c>
      <c r="J10" s="1">
        <v>6432</v>
      </c>
      <c r="K10" s="1">
        <v>4004</v>
      </c>
      <c r="L10" s="1">
        <v>110.72199999999999</v>
      </c>
      <c r="M10" s="1">
        <v>1.216</v>
      </c>
      <c r="N10" s="1">
        <v>0.22700000000000001</v>
      </c>
      <c r="O10" s="1">
        <v>2.0052E-3</v>
      </c>
      <c r="P10" s="1">
        <v>0</v>
      </c>
    </row>
    <row r="11" spans="1:16">
      <c r="A11" s="1" t="s">
        <v>14</v>
      </c>
      <c r="B11" s="1" t="s">
        <v>19</v>
      </c>
      <c r="C11" s="1">
        <v>4</v>
      </c>
      <c r="D11" s="1" t="s">
        <v>20</v>
      </c>
      <c r="E11" s="1"/>
      <c r="F11" s="1"/>
      <c r="G11" s="1"/>
      <c r="H11" s="1">
        <v>4</v>
      </c>
      <c r="I11" s="1">
        <v>4941</v>
      </c>
      <c r="J11" s="1">
        <v>5510</v>
      </c>
      <c r="K11" s="1">
        <v>3346</v>
      </c>
      <c r="L11" s="1">
        <v>53.988</v>
      </c>
      <c r="M11" s="1">
        <v>0.60699999999999998</v>
      </c>
      <c r="N11" s="1">
        <v>0.11</v>
      </c>
      <c r="O11" s="1">
        <v>1.9959000000000001E-3</v>
      </c>
      <c r="P11" s="1">
        <v>-4.6500000000000004</v>
      </c>
    </row>
    <row r="12" spans="1:16">
      <c r="A12" s="1" t="s">
        <v>14</v>
      </c>
      <c r="B12" s="1" t="s">
        <v>19</v>
      </c>
      <c r="C12" s="1">
        <v>4</v>
      </c>
      <c r="D12" s="1" t="s">
        <v>20</v>
      </c>
      <c r="E12" s="1"/>
      <c r="F12" s="1"/>
      <c r="G12" s="1"/>
      <c r="H12" s="1">
        <v>5</v>
      </c>
      <c r="I12" s="1">
        <v>5854</v>
      </c>
      <c r="J12" s="1">
        <v>6431</v>
      </c>
      <c r="K12" s="1">
        <v>4005</v>
      </c>
      <c r="L12" s="1">
        <v>109.98</v>
      </c>
      <c r="M12" s="1">
        <v>1.208</v>
      </c>
      <c r="N12" s="1">
        <v>0.22600000000000001</v>
      </c>
      <c r="O12" s="1">
        <v>2.0054000000000001E-3</v>
      </c>
      <c r="P12" s="1">
        <v>9.7000000000000003E-2</v>
      </c>
    </row>
    <row r="13" spans="1:16">
      <c r="A13" s="1" t="s">
        <v>14</v>
      </c>
      <c r="B13" s="1" t="s">
        <v>19</v>
      </c>
      <c r="C13" s="1">
        <v>4</v>
      </c>
      <c r="D13" s="1" t="s">
        <v>20</v>
      </c>
      <c r="E13" s="1"/>
      <c r="F13" s="1"/>
      <c r="G13" s="1"/>
      <c r="H13" s="1">
        <v>6</v>
      </c>
      <c r="I13" s="1">
        <v>5852</v>
      </c>
      <c r="J13" s="1">
        <v>6429</v>
      </c>
      <c r="K13" s="1">
        <v>4003</v>
      </c>
      <c r="L13" s="1">
        <v>110.654</v>
      </c>
      <c r="M13" s="1">
        <v>1.216</v>
      </c>
      <c r="N13" s="1">
        <v>0.22700000000000001</v>
      </c>
      <c r="O13" s="1">
        <v>2.0052E-3</v>
      </c>
      <c r="P13" s="1">
        <v>0</v>
      </c>
    </row>
    <row r="14" spans="1:16">
      <c r="A14" s="1" t="s">
        <v>14</v>
      </c>
      <c r="B14" s="1" t="s">
        <v>21</v>
      </c>
      <c r="C14" s="1">
        <v>5</v>
      </c>
      <c r="D14" s="1" t="s">
        <v>20</v>
      </c>
      <c r="E14" s="1"/>
      <c r="F14" s="1"/>
      <c r="G14" s="1"/>
      <c r="H14" s="1">
        <v>4</v>
      </c>
      <c r="I14" s="1">
        <v>5059</v>
      </c>
      <c r="J14" s="1">
        <v>5642</v>
      </c>
      <c r="K14" s="1">
        <v>3427</v>
      </c>
      <c r="L14" s="1">
        <v>56.290999999999997</v>
      </c>
      <c r="M14" s="1">
        <v>0.63300000000000001</v>
      </c>
      <c r="N14" s="1">
        <v>0.115</v>
      </c>
      <c r="O14" s="1">
        <v>1.9962999999999999E-3</v>
      </c>
      <c r="P14" s="1">
        <v>-4.4560000000000004</v>
      </c>
    </row>
    <row r="15" spans="1:16">
      <c r="A15" s="1" t="s">
        <v>14</v>
      </c>
      <c r="B15" s="1" t="s">
        <v>21</v>
      </c>
      <c r="C15" s="1">
        <v>5</v>
      </c>
      <c r="D15" s="1" t="s">
        <v>20</v>
      </c>
      <c r="E15" s="1"/>
      <c r="F15" s="1"/>
      <c r="G15" s="1"/>
      <c r="H15" s="1">
        <v>5</v>
      </c>
      <c r="I15" s="1">
        <v>5860</v>
      </c>
      <c r="J15" s="1">
        <v>6437</v>
      </c>
      <c r="K15" s="1">
        <v>4009</v>
      </c>
      <c r="L15" s="1">
        <v>110.38500000000001</v>
      </c>
      <c r="M15" s="1">
        <v>1.2130000000000001</v>
      </c>
      <c r="N15" s="1">
        <v>0.22700000000000001</v>
      </c>
      <c r="O15" s="1">
        <v>2.0054999999999999E-3</v>
      </c>
      <c r="P15" s="1">
        <v>0.129</v>
      </c>
    </row>
    <row r="16" spans="1:16">
      <c r="A16" s="1" t="s">
        <v>14</v>
      </c>
      <c r="B16" s="1" t="s">
        <v>21</v>
      </c>
      <c r="C16" s="1">
        <v>5</v>
      </c>
      <c r="D16" s="1" t="s">
        <v>20</v>
      </c>
      <c r="E16" s="1"/>
      <c r="F16" s="1"/>
      <c r="G16" s="1"/>
      <c r="H16" s="1">
        <v>6</v>
      </c>
      <c r="I16" s="1">
        <v>5853</v>
      </c>
      <c r="J16" s="1">
        <v>6430</v>
      </c>
      <c r="K16" s="1">
        <v>4004</v>
      </c>
      <c r="L16" s="1">
        <v>111.14400000000001</v>
      </c>
      <c r="M16" s="1">
        <v>1.2210000000000001</v>
      </c>
      <c r="N16" s="1">
        <v>0.22800000000000001</v>
      </c>
      <c r="O16" s="1">
        <v>2.0052E-3</v>
      </c>
      <c r="P16" s="1">
        <v>0</v>
      </c>
    </row>
    <row r="17" spans="1:16">
      <c r="A17" s="1" t="s">
        <v>14</v>
      </c>
      <c r="B17" s="1" t="s">
        <v>22</v>
      </c>
      <c r="C17" s="1">
        <v>6</v>
      </c>
      <c r="D17" s="1" t="s">
        <v>20</v>
      </c>
      <c r="E17" s="1"/>
      <c r="F17" s="1"/>
      <c r="G17" s="1"/>
      <c r="H17" s="1">
        <v>4</v>
      </c>
      <c r="I17" s="1">
        <v>5124</v>
      </c>
      <c r="J17" s="1">
        <v>5713</v>
      </c>
      <c r="K17" s="1">
        <v>3469</v>
      </c>
      <c r="L17" s="1">
        <v>56.683</v>
      </c>
      <c r="M17" s="1">
        <v>0.63700000000000001</v>
      </c>
      <c r="N17" s="1">
        <v>0.11600000000000001</v>
      </c>
      <c r="O17" s="1">
        <v>1.9959999999999999E-3</v>
      </c>
      <c r="P17" s="1">
        <v>-4.593</v>
      </c>
    </row>
    <row r="18" spans="1:16">
      <c r="A18" s="1" t="s">
        <v>14</v>
      </c>
      <c r="B18" s="1" t="s">
        <v>22</v>
      </c>
      <c r="C18" s="1">
        <v>6</v>
      </c>
      <c r="D18" s="1" t="s">
        <v>20</v>
      </c>
      <c r="E18" s="1"/>
      <c r="F18" s="1"/>
      <c r="G18" s="1"/>
      <c r="H18" s="1">
        <v>5</v>
      </c>
      <c r="I18" s="1">
        <v>5843</v>
      </c>
      <c r="J18" s="1">
        <v>6419</v>
      </c>
      <c r="K18" s="1">
        <v>3998</v>
      </c>
      <c r="L18" s="1">
        <v>110.015</v>
      </c>
      <c r="M18" s="1">
        <v>1.2090000000000001</v>
      </c>
      <c r="N18" s="1">
        <v>0.22600000000000001</v>
      </c>
      <c r="O18" s="1">
        <v>2.0054000000000001E-3</v>
      </c>
      <c r="P18" s="1">
        <v>0.123</v>
      </c>
    </row>
    <row r="19" spans="1:16">
      <c r="A19" s="1" t="s">
        <v>14</v>
      </c>
      <c r="B19" s="1" t="s">
        <v>22</v>
      </c>
      <c r="C19" s="1">
        <v>6</v>
      </c>
      <c r="D19" s="1" t="s">
        <v>20</v>
      </c>
      <c r="E19" s="1"/>
      <c r="F19" s="1"/>
      <c r="G19" s="1"/>
      <c r="H19" s="1">
        <v>6</v>
      </c>
      <c r="I19" s="1">
        <v>5844</v>
      </c>
      <c r="J19" s="1">
        <v>6420</v>
      </c>
      <c r="K19" s="1">
        <v>3998</v>
      </c>
      <c r="L19" s="1">
        <v>110.53</v>
      </c>
      <c r="M19" s="1">
        <v>1.214</v>
      </c>
      <c r="N19" s="1">
        <v>0.22700000000000001</v>
      </c>
      <c r="O19" s="1">
        <v>2.0052E-3</v>
      </c>
      <c r="P19" s="1">
        <v>0</v>
      </c>
    </row>
    <row r="20" spans="1:16">
      <c r="A20" s="1" t="s">
        <v>14</v>
      </c>
      <c r="B20" s="1" t="s">
        <v>23</v>
      </c>
      <c r="C20" s="1">
        <v>7</v>
      </c>
      <c r="D20" s="1" t="s">
        <v>24</v>
      </c>
      <c r="E20" s="1"/>
      <c r="F20" s="1"/>
      <c r="G20" s="1"/>
      <c r="H20" s="1">
        <v>4</v>
      </c>
      <c r="I20" s="1">
        <v>5051</v>
      </c>
      <c r="J20" s="1">
        <v>5632</v>
      </c>
      <c r="K20" s="1">
        <v>3402</v>
      </c>
      <c r="L20" s="1">
        <v>56.220999999999997</v>
      </c>
      <c r="M20" s="1">
        <v>0.63200000000000001</v>
      </c>
      <c r="N20" s="1">
        <v>0.114</v>
      </c>
      <c r="O20" s="1">
        <v>1.9848999999999999E-3</v>
      </c>
      <c r="P20" s="1">
        <v>-10.119</v>
      </c>
    </row>
    <row r="21" spans="1:16">
      <c r="A21" s="1" t="s">
        <v>14</v>
      </c>
      <c r="B21" s="1" t="s">
        <v>23</v>
      </c>
      <c r="C21" s="1">
        <v>7</v>
      </c>
      <c r="D21" s="1" t="s">
        <v>24</v>
      </c>
      <c r="E21" s="1"/>
      <c r="F21" s="1"/>
      <c r="G21" s="1"/>
      <c r="H21" s="1">
        <v>5</v>
      </c>
      <c r="I21" s="1">
        <v>5845</v>
      </c>
      <c r="J21" s="1">
        <v>6422</v>
      </c>
      <c r="K21" s="1">
        <v>3999</v>
      </c>
      <c r="L21" s="1">
        <v>110.101</v>
      </c>
      <c r="M21" s="1">
        <v>1.21</v>
      </c>
      <c r="N21" s="1">
        <v>0.22600000000000001</v>
      </c>
      <c r="O21" s="1">
        <v>2.0056000000000002E-3</v>
      </c>
      <c r="P21" s="1">
        <v>0.20699999999999999</v>
      </c>
    </row>
    <row r="22" spans="1:16">
      <c r="A22" s="1" t="s">
        <v>14</v>
      </c>
      <c r="B22" s="1" t="s">
        <v>23</v>
      </c>
      <c r="C22" s="1">
        <v>7</v>
      </c>
      <c r="D22" s="1" t="s">
        <v>24</v>
      </c>
      <c r="E22" s="1"/>
      <c r="F22" s="1"/>
      <c r="G22" s="1"/>
      <c r="H22" s="1">
        <v>6</v>
      </c>
      <c r="I22" s="1">
        <v>5846</v>
      </c>
      <c r="J22" s="1">
        <v>6421</v>
      </c>
      <c r="K22" s="1">
        <v>3999</v>
      </c>
      <c r="L22" s="1">
        <v>110.006</v>
      </c>
      <c r="M22" s="1">
        <v>1.208</v>
      </c>
      <c r="N22" s="1">
        <v>0.22600000000000001</v>
      </c>
      <c r="O22" s="1">
        <v>2.0052E-3</v>
      </c>
      <c r="P22" s="1">
        <v>0</v>
      </c>
    </row>
    <row r="23" spans="1:16">
      <c r="A23" s="1" t="s">
        <v>14</v>
      </c>
      <c r="B23" s="1" t="s">
        <v>25</v>
      </c>
      <c r="C23" s="1">
        <v>8</v>
      </c>
      <c r="D23" s="1" t="s">
        <v>24</v>
      </c>
      <c r="E23" s="1"/>
      <c r="F23" s="1"/>
      <c r="G23" s="1"/>
      <c r="H23" s="1">
        <v>4</v>
      </c>
      <c r="I23" s="1">
        <v>4999</v>
      </c>
      <c r="J23" s="1">
        <v>5574</v>
      </c>
      <c r="K23" s="1">
        <v>3365</v>
      </c>
      <c r="L23" s="1">
        <v>55.573999999999998</v>
      </c>
      <c r="M23" s="1">
        <v>0.624</v>
      </c>
      <c r="N23" s="1">
        <v>0.113</v>
      </c>
      <c r="O23" s="1">
        <v>1.9845000000000002E-3</v>
      </c>
      <c r="P23" s="1">
        <v>-10.317</v>
      </c>
    </row>
    <row r="24" spans="1:16">
      <c r="A24" s="1" t="s">
        <v>14</v>
      </c>
      <c r="B24" s="1" t="s">
        <v>25</v>
      </c>
      <c r="C24" s="1">
        <v>8</v>
      </c>
      <c r="D24" s="1" t="s">
        <v>24</v>
      </c>
      <c r="E24" s="1"/>
      <c r="F24" s="1"/>
      <c r="G24" s="1"/>
      <c r="H24" s="1">
        <v>5</v>
      </c>
      <c r="I24" s="1">
        <v>5854</v>
      </c>
      <c r="J24" s="1">
        <v>6431</v>
      </c>
      <c r="K24" s="1">
        <v>4005</v>
      </c>
      <c r="L24" s="1">
        <v>110.1</v>
      </c>
      <c r="M24" s="1">
        <v>1.21</v>
      </c>
      <c r="N24" s="1">
        <v>0.22600000000000001</v>
      </c>
      <c r="O24" s="1">
        <v>2.0054000000000001E-3</v>
      </c>
      <c r="P24" s="1">
        <v>0.12</v>
      </c>
    </row>
    <row r="25" spans="1:16">
      <c r="A25" s="1" t="s">
        <v>14</v>
      </c>
      <c r="B25" s="1" t="s">
        <v>25</v>
      </c>
      <c r="C25" s="1">
        <v>8</v>
      </c>
      <c r="D25" s="1" t="s">
        <v>24</v>
      </c>
      <c r="E25" s="1"/>
      <c r="F25" s="1"/>
      <c r="G25" s="1"/>
      <c r="H25" s="1">
        <v>6</v>
      </c>
      <c r="I25" s="1">
        <v>5849</v>
      </c>
      <c r="J25" s="1">
        <v>6426</v>
      </c>
      <c r="K25" s="1">
        <v>4001</v>
      </c>
      <c r="L25" s="1">
        <v>110.544</v>
      </c>
      <c r="M25" s="1">
        <v>1.214</v>
      </c>
      <c r="N25" s="1">
        <v>0.22700000000000001</v>
      </c>
      <c r="O25" s="1">
        <v>2.0052E-3</v>
      </c>
      <c r="P25" s="1">
        <v>0</v>
      </c>
    </row>
    <row r="26" spans="1:16">
      <c r="A26" s="1" t="s">
        <v>14</v>
      </c>
      <c r="B26" s="1" t="s">
        <v>26</v>
      </c>
      <c r="C26" s="1">
        <v>9</v>
      </c>
      <c r="D26" s="1" t="s">
        <v>24</v>
      </c>
      <c r="E26" s="1"/>
      <c r="F26" s="1"/>
      <c r="G26" s="1"/>
      <c r="H26" s="1">
        <v>4</v>
      </c>
      <c r="I26" s="1">
        <v>4926</v>
      </c>
      <c r="J26" s="1">
        <v>5494</v>
      </c>
      <c r="K26" s="1">
        <v>3316</v>
      </c>
      <c r="L26" s="1">
        <v>54.508000000000003</v>
      </c>
      <c r="M26" s="1">
        <v>0.61199999999999999</v>
      </c>
      <c r="N26" s="1">
        <v>0.111</v>
      </c>
      <c r="O26" s="1">
        <v>1.9843999999999999E-3</v>
      </c>
      <c r="P26" s="1">
        <v>-10.349</v>
      </c>
    </row>
    <row r="27" spans="1:16">
      <c r="A27" s="1" t="s">
        <v>14</v>
      </c>
      <c r="B27" s="1" t="s">
        <v>26</v>
      </c>
      <c r="C27" s="1">
        <v>9</v>
      </c>
      <c r="D27" s="1" t="s">
        <v>24</v>
      </c>
      <c r="E27" s="1"/>
      <c r="F27" s="1"/>
      <c r="G27" s="1"/>
      <c r="H27" s="1">
        <v>5</v>
      </c>
      <c r="I27" s="1">
        <v>5845</v>
      </c>
      <c r="J27" s="1">
        <v>6422</v>
      </c>
      <c r="K27" s="1">
        <v>3998</v>
      </c>
      <c r="L27" s="1">
        <v>110.21299999999999</v>
      </c>
      <c r="M27" s="1">
        <v>1.2110000000000001</v>
      </c>
      <c r="N27" s="1">
        <v>0.22600000000000001</v>
      </c>
      <c r="O27" s="1">
        <v>2.0054000000000001E-3</v>
      </c>
      <c r="P27" s="1">
        <v>0.11600000000000001</v>
      </c>
    </row>
    <row r="28" spans="1:16">
      <c r="A28" s="1" t="s">
        <v>14</v>
      </c>
      <c r="B28" s="1" t="s">
        <v>26</v>
      </c>
      <c r="C28" s="1">
        <v>9</v>
      </c>
      <c r="D28" s="1" t="s">
        <v>24</v>
      </c>
      <c r="E28" s="1"/>
      <c r="F28" s="1"/>
      <c r="G28" s="1"/>
      <c r="H28" s="1">
        <v>6</v>
      </c>
      <c r="I28" s="1">
        <v>5852</v>
      </c>
      <c r="J28" s="1">
        <v>6429</v>
      </c>
      <c r="K28" s="1">
        <v>4003</v>
      </c>
      <c r="L28" s="1">
        <v>110.703</v>
      </c>
      <c r="M28" s="1">
        <v>1.216</v>
      </c>
      <c r="N28" s="1">
        <v>0.22700000000000001</v>
      </c>
      <c r="O28" s="1">
        <v>2.0052E-3</v>
      </c>
      <c r="P28" s="1">
        <v>0</v>
      </c>
    </row>
    <row r="29" spans="1:16">
      <c r="A29" s="1" t="s">
        <v>14</v>
      </c>
      <c r="B29" s="1" t="s">
        <v>27</v>
      </c>
      <c r="C29" s="1">
        <v>10</v>
      </c>
      <c r="D29" s="1" t="s">
        <v>28</v>
      </c>
      <c r="E29" s="1"/>
      <c r="F29" s="1"/>
      <c r="G29" s="1"/>
      <c r="H29" s="1">
        <v>4</v>
      </c>
      <c r="I29" s="1">
        <v>4953</v>
      </c>
      <c r="J29" s="1">
        <v>5523</v>
      </c>
      <c r="K29" s="1">
        <v>3331</v>
      </c>
      <c r="L29" s="1">
        <v>55.405999999999999</v>
      </c>
      <c r="M29" s="1">
        <v>0.623</v>
      </c>
      <c r="N29" s="1">
        <v>0.112</v>
      </c>
      <c r="O29" s="1">
        <v>1.9829000000000001E-3</v>
      </c>
      <c r="P29" s="1">
        <v>-11.12</v>
      </c>
    </row>
    <row r="30" spans="1:16">
      <c r="A30" s="1" t="s">
        <v>14</v>
      </c>
      <c r="B30" s="1" t="s">
        <v>27</v>
      </c>
      <c r="C30" s="1">
        <v>10</v>
      </c>
      <c r="D30" s="1" t="s">
        <v>28</v>
      </c>
      <c r="E30" s="1"/>
      <c r="F30" s="1"/>
      <c r="G30" s="1"/>
      <c r="H30" s="1">
        <v>5</v>
      </c>
      <c r="I30" s="1">
        <v>5854</v>
      </c>
      <c r="J30" s="1">
        <v>6431</v>
      </c>
      <c r="K30" s="1">
        <v>4005</v>
      </c>
      <c r="L30" s="1">
        <v>110.092</v>
      </c>
      <c r="M30" s="1">
        <v>1.2090000000000001</v>
      </c>
      <c r="N30" s="1">
        <v>0.22600000000000001</v>
      </c>
      <c r="O30" s="1">
        <v>2.0054999999999999E-3</v>
      </c>
      <c r="P30" s="1">
        <v>0.15</v>
      </c>
    </row>
    <row r="31" spans="1:16">
      <c r="A31" s="1" t="s">
        <v>14</v>
      </c>
      <c r="B31" s="1" t="s">
        <v>27</v>
      </c>
      <c r="C31" s="1">
        <v>10</v>
      </c>
      <c r="D31" s="1" t="s">
        <v>28</v>
      </c>
      <c r="E31" s="1"/>
      <c r="F31" s="1"/>
      <c r="G31" s="1"/>
      <c r="H31" s="1">
        <v>6</v>
      </c>
      <c r="I31" s="1">
        <v>5844</v>
      </c>
      <c r="J31" s="1">
        <v>6421</v>
      </c>
      <c r="K31" s="1">
        <v>3998</v>
      </c>
      <c r="L31" s="1">
        <v>110.729</v>
      </c>
      <c r="M31" s="1">
        <v>1.216</v>
      </c>
      <c r="N31" s="1">
        <v>0.22700000000000001</v>
      </c>
      <c r="O31" s="1">
        <v>2.0052E-3</v>
      </c>
      <c r="P31" s="1">
        <v>0</v>
      </c>
    </row>
    <row r="32" spans="1:16">
      <c r="A32" s="1" t="s">
        <v>14</v>
      </c>
      <c r="B32" s="1" t="s">
        <v>29</v>
      </c>
      <c r="C32" s="1">
        <v>11</v>
      </c>
      <c r="D32" s="1" t="s">
        <v>28</v>
      </c>
      <c r="E32" s="1"/>
      <c r="F32" s="1"/>
      <c r="G32" s="1"/>
      <c r="H32" s="1">
        <v>4</v>
      </c>
      <c r="I32" s="1">
        <v>5076</v>
      </c>
      <c r="J32" s="1">
        <v>5660</v>
      </c>
      <c r="K32" s="1">
        <v>3412</v>
      </c>
      <c r="L32" s="1">
        <v>56.697000000000003</v>
      </c>
      <c r="M32" s="1">
        <v>0.63700000000000001</v>
      </c>
      <c r="N32" s="1">
        <v>0.115</v>
      </c>
      <c r="O32" s="1">
        <v>1.9821000000000001E-3</v>
      </c>
      <c r="P32" s="1">
        <v>-11.542</v>
      </c>
    </row>
    <row r="33" spans="1:16">
      <c r="A33" s="1" t="s">
        <v>14</v>
      </c>
      <c r="B33" s="1" t="s">
        <v>29</v>
      </c>
      <c r="C33" s="1">
        <v>11</v>
      </c>
      <c r="D33" s="1" t="s">
        <v>28</v>
      </c>
      <c r="E33" s="1"/>
      <c r="F33" s="1"/>
      <c r="G33" s="1"/>
      <c r="H33" s="1">
        <v>5</v>
      </c>
      <c r="I33" s="1">
        <v>5866</v>
      </c>
      <c r="J33" s="1">
        <v>6445</v>
      </c>
      <c r="K33" s="1">
        <v>4013</v>
      </c>
      <c r="L33" s="1">
        <v>110.499</v>
      </c>
      <c r="M33" s="1">
        <v>1.214</v>
      </c>
      <c r="N33" s="1">
        <v>0.22700000000000001</v>
      </c>
      <c r="O33" s="1">
        <v>2.0056000000000002E-3</v>
      </c>
      <c r="P33" s="1">
        <v>0.19600000000000001</v>
      </c>
    </row>
    <row r="34" spans="1:16">
      <c r="A34" s="1" t="s">
        <v>14</v>
      </c>
      <c r="B34" s="1" t="s">
        <v>29</v>
      </c>
      <c r="C34" s="1">
        <v>11</v>
      </c>
      <c r="D34" s="1" t="s">
        <v>28</v>
      </c>
      <c r="E34" s="1"/>
      <c r="F34" s="1"/>
      <c r="G34" s="1"/>
      <c r="H34" s="1">
        <v>6</v>
      </c>
      <c r="I34" s="1">
        <v>5862</v>
      </c>
      <c r="J34" s="1">
        <v>6439</v>
      </c>
      <c r="K34" s="1">
        <v>4010</v>
      </c>
      <c r="L34" s="1">
        <v>111.16200000000001</v>
      </c>
      <c r="M34" s="1">
        <v>1.2210000000000001</v>
      </c>
      <c r="N34" s="1">
        <v>0.22800000000000001</v>
      </c>
      <c r="O34" s="1">
        <v>2.0052E-3</v>
      </c>
      <c r="P34" s="1">
        <v>0</v>
      </c>
    </row>
    <row r="35" spans="1:16">
      <c r="A35" s="1" t="s">
        <v>14</v>
      </c>
      <c r="B35" s="1" t="s">
        <v>30</v>
      </c>
      <c r="C35" s="1">
        <v>12</v>
      </c>
      <c r="D35" s="1" t="s">
        <v>28</v>
      </c>
      <c r="E35" s="1"/>
      <c r="F35" s="1"/>
      <c r="G35" s="1"/>
      <c r="H35" s="1">
        <v>4</v>
      </c>
      <c r="I35" s="1">
        <v>4934</v>
      </c>
      <c r="J35" s="1">
        <v>5501</v>
      </c>
      <c r="K35" s="1">
        <v>3318</v>
      </c>
      <c r="L35" s="1">
        <v>55.225000000000001</v>
      </c>
      <c r="M35" s="1">
        <v>0.62</v>
      </c>
      <c r="N35" s="1">
        <v>0.112</v>
      </c>
      <c r="O35" s="1">
        <v>1.9827E-3</v>
      </c>
      <c r="P35" s="1">
        <v>-11.24</v>
      </c>
    </row>
    <row r="36" spans="1:16">
      <c r="A36" s="1" t="s">
        <v>14</v>
      </c>
      <c r="B36" s="1" t="s">
        <v>30</v>
      </c>
      <c r="C36" s="1">
        <v>12</v>
      </c>
      <c r="D36" s="1" t="s">
        <v>28</v>
      </c>
      <c r="E36" s="1"/>
      <c r="F36" s="1"/>
      <c r="G36" s="1"/>
      <c r="H36" s="1">
        <v>5</v>
      </c>
      <c r="I36" s="1">
        <v>5886</v>
      </c>
      <c r="J36" s="1">
        <v>6465</v>
      </c>
      <c r="K36" s="1">
        <v>4026</v>
      </c>
      <c r="L36" s="1">
        <v>110.756</v>
      </c>
      <c r="M36" s="1">
        <v>1.2170000000000001</v>
      </c>
      <c r="N36" s="1">
        <v>0.22700000000000001</v>
      </c>
      <c r="O36" s="1">
        <v>2.0057E-3</v>
      </c>
      <c r="P36" s="1">
        <v>0.26400000000000001</v>
      </c>
    </row>
    <row r="37" spans="1:16">
      <c r="A37" s="1" t="s">
        <v>14</v>
      </c>
      <c r="B37" s="1" t="s">
        <v>30</v>
      </c>
      <c r="C37" s="1">
        <v>12</v>
      </c>
      <c r="D37" s="1" t="s">
        <v>28</v>
      </c>
      <c r="E37" s="1"/>
      <c r="F37" s="1"/>
      <c r="G37" s="1"/>
      <c r="H37" s="1">
        <v>6</v>
      </c>
      <c r="I37" s="1">
        <v>5870</v>
      </c>
      <c r="J37" s="1">
        <v>6449</v>
      </c>
      <c r="K37" s="1">
        <v>4016</v>
      </c>
      <c r="L37" s="1">
        <v>111.07899999999999</v>
      </c>
      <c r="M37" s="1">
        <v>1.22</v>
      </c>
      <c r="N37" s="1">
        <v>0.22800000000000001</v>
      </c>
      <c r="O37" s="1">
        <v>2.0052E-3</v>
      </c>
      <c r="P37" s="1">
        <v>0</v>
      </c>
    </row>
    <row r="38" spans="1:16">
      <c r="A38" s="1" t="s">
        <v>14</v>
      </c>
      <c r="B38" s="1" t="s">
        <v>31</v>
      </c>
      <c r="C38" s="1">
        <v>13</v>
      </c>
      <c r="D38" s="1" t="s">
        <v>32</v>
      </c>
      <c r="E38" s="1"/>
      <c r="F38" s="1"/>
      <c r="G38" s="1"/>
      <c r="H38" s="1">
        <v>4</v>
      </c>
      <c r="I38" s="1">
        <v>4917</v>
      </c>
      <c r="J38" s="1">
        <v>5483</v>
      </c>
      <c r="K38" s="1">
        <v>3303</v>
      </c>
      <c r="L38" s="1">
        <v>54.901000000000003</v>
      </c>
      <c r="M38" s="1">
        <v>0.61699999999999999</v>
      </c>
      <c r="N38" s="1">
        <v>0.111</v>
      </c>
      <c r="O38" s="1">
        <v>1.9794999999999999E-3</v>
      </c>
      <c r="P38" s="1">
        <v>-12.827999999999999</v>
      </c>
    </row>
    <row r="39" spans="1:16">
      <c r="A39" s="1" t="s">
        <v>14</v>
      </c>
      <c r="B39" s="1" t="s">
        <v>31</v>
      </c>
      <c r="C39" s="1">
        <v>13</v>
      </c>
      <c r="D39" s="1" t="s">
        <v>32</v>
      </c>
      <c r="E39" s="1"/>
      <c r="F39" s="1"/>
      <c r="G39" s="1"/>
      <c r="H39" s="1">
        <v>5</v>
      </c>
      <c r="I39" s="1">
        <v>5851</v>
      </c>
      <c r="J39" s="1">
        <v>6428</v>
      </c>
      <c r="K39" s="1">
        <v>4004</v>
      </c>
      <c r="L39" s="1">
        <v>110.131</v>
      </c>
      <c r="M39" s="1">
        <v>1.21</v>
      </c>
      <c r="N39" s="1">
        <v>0.22600000000000001</v>
      </c>
      <c r="O39" s="1">
        <v>2.0056000000000002E-3</v>
      </c>
      <c r="P39" s="1">
        <v>0.17899999999999999</v>
      </c>
    </row>
    <row r="40" spans="1:16">
      <c r="A40" s="1" t="s">
        <v>14</v>
      </c>
      <c r="B40" s="1" t="s">
        <v>31</v>
      </c>
      <c r="C40" s="1">
        <v>13</v>
      </c>
      <c r="D40" s="1" t="s">
        <v>32</v>
      </c>
      <c r="E40" s="1"/>
      <c r="F40" s="1"/>
      <c r="G40" s="1"/>
      <c r="H40" s="1">
        <v>6</v>
      </c>
      <c r="I40" s="1">
        <v>5853</v>
      </c>
      <c r="J40" s="1">
        <v>6430</v>
      </c>
      <c r="K40" s="1">
        <v>4003</v>
      </c>
      <c r="L40" s="1">
        <v>110.566</v>
      </c>
      <c r="M40" s="1">
        <v>1.2150000000000001</v>
      </c>
      <c r="N40" s="1">
        <v>0.22700000000000001</v>
      </c>
      <c r="O40" s="1">
        <v>2.0052E-3</v>
      </c>
      <c r="P40" s="1">
        <v>0</v>
      </c>
    </row>
    <row r="41" spans="1:16">
      <c r="A41" s="1" t="s">
        <v>14</v>
      </c>
      <c r="B41" s="1" t="s">
        <v>33</v>
      </c>
      <c r="C41" s="1">
        <v>14</v>
      </c>
      <c r="D41" s="1" t="s">
        <v>32</v>
      </c>
      <c r="E41" s="1"/>
      <c r="F41" s="1"/>
      <c r="G41" s="1"/>
      <c r="H41" s="1">
        <v>4</v>
      </c>
      <c r="I41" s="1">
        <v>4962</v>
      </c>
      <c r="J41" s="1">
        <v>5534</v>
      </c>
      <c r="K41" s="1">
        <v>3334</v>
      </c>
      <c r="L41" s="1">
        <v>55.55</v>
      </c>
      <c r="M41" s="1">
        <v>0.624</v>
      </c>
      <c r="N41" s="1">
        <v>0.113</v>
      </c>
      <c r="O41" s="1">
        <v>1.9794999999999999E-3</v>
      </c>
      <c r="P41" s="1">
        <v>-12.798999999999999</v>
      </c>
    </row>
    <row r="42" spans="1:16">
      <c r="A42" s="1" t="s">
        <v>14</v>
      </c>
      <c r="B42" s="1" t="s">
        <v>33</v>
      </c>
      <c r="C42" s="1">
        <v>14</v>
      </c>
      <c r="D42" s="1" t="s">
        <v>32</v>
      </c>
      <c r="E42" s="1"/>
      <c r="F42" s="1"/>
      <c r="G42" s="1"/>
      <c r="H42" s="1">
        <v>5</v>
      </c>
      <c r="I42" s="1">
        <v>5864</v>
      </c>
      <c r="J42" s="1">
        <v>6442</v>
      </c>
      <c r="K42" s="1">
        <v>4011</v>
      </c>
      <c r="L42" s="1">
        <v>109.926</v>
      </c>
      <c r="M42" s="1">
        <v>1.208</v>
      </c>
      <c r="N42" s="1">
        <v>0.22600000000000001</v>
      </c>
      <c r="O42" s="1">
        <v>2.0054999999999999E-3</v>
      </c>
      <c r="P42" s="1">
        <v>0.14399999999999999</v>
      </c>
    </row>
    <row r="43" spans="1:16">
      <c r="A43" s="1" t="s">
        <v>14</v>
      </c>
      <c r="B43" s="1" t="s">
        <v>33</v>
      </c>
      <c r="C43" s="1">
        <v>14</v>
      </c>
      <c r="D43" s="1" t="s">
        <v>32</v>
      </c>
      <c r="E43" s="1"/>
      <c r="F43" s="1"/>
      <c r="G43" s="1"/>
      <c r="H43" s="1">
        <v>6</v>
      </c>
      <c r="I43" s="1">
        <v>5862</v>
      </c>
      <c r="J43" s="1">
        <v>6440</v>
      </c>
      <c r="K43" s="1">
        <v>4011</v>
      </c>
      <c r="L43" s="1">
        <v>110.836</v>
      </c>
      <c r="M43" s="1">
        <v>1.218</v>
      </c>
      <c r="N43" s="1">
        <v>0.22800000000000001</v>
      </c>
      <c r="O43" s="1">
        <v>2.0052E-3</v>
      </c>
      <c r="P43" s="1">
        <v>0</v>
      </c>
    </row>
    <row r="44" spans="1:16">
      <c r="A44" s="1" t="s">
        <v>14</v>
      </c>
      <c r="B44" s="1" t="s">
        <v>34</v>
      </c>
      <c r="C44" s="1">
        <v>15</v>
      </c>
      <c r="D44" s="1" t="s">
        <v>35</v>
      </c>
      <c r="E44" s="1"/>
      <c r="F44" s="1"/>
      <c r="G44" s="1"/>
      <c r="H44" s="1">
        <v>4</v>
      </c>
      <c r="I44" s="1">
        <v>5008</v>
      </c>
      <c r="J44" s="1">
        <v>5585</v>
      </c>
      <c r="K44" s="1">
        <v>3372</v>
      </c>
      <c r="L44" s="1">
        <v>55.988</v>
      </c>
      <c r="M44" s="1">
        <v>0.629</v>
      </c>
      <c r="N44" s="1">
        <v>0.114</v>
      </c>
      <c r="O44" s="1">
        <v>1.9837000000000001E-3</v>
      </c>
      <c r="P44" s="1">
        <v>-10.734</v>
      </c>
    </row>
    <row r="45" spans="1:16">
      <c r="A45" s="1" t="s">
        <v>14</v>
      </c>
      <c r="B45" s="1" t="s">
        <v>34</v>
      </c>
      <c r="C45" s="1">
        <v>15</v>
      </c>
      <c r="D45" s="1" t="s">
        <v>35</v>
      </c>
      <c r="E45" s="1"/>
      <c r="F45" s="1"/>
      <c r="G45" s="1"/>
      <c r="H45" s="1">
        <v>5</v>
      </c>
      <c r="I45" s="1">
        <v>5867</v>
      </c>
      <c r="J45" s="1">
        <v>6445</v>
      </c>
      <c r="K45" s="1">
        <v>4013</v>
      </c>
      <c r="L45" s="1">
        <v>110.339</v>
      </c>
      <c r="M45" s="1">
        <v>1.212</v>
      </c>
      <c r="N45" s="1">
        <v>0.22700000000000001</v>
      </c>
      <c r="O45" s="1">
        <v>2.0054000000000001E-3</v>
      </c>
      <c r="P45" s="1">
        <v>0.12</v>
      </c>
    </row>
    <row r="46" spans="1:16">
      <c r="A46" s="1" t="s">
        <v>14</v>
      </c>
      <c r="B46" s="1" t="s">
        <v>34</v>
      </c>
      <c r="C46" s="1">
        <v>15</v>
      </c>
      <c r="D46" s="1" t="s">
        <v>35</v>
      </c>
      <c r="E46" s="1"/>
      <c r="F46" s="1"/>
      <c r="G46" s="1"/>
      <c r="H46" s="1">
        <v>6</v>
      </c>
      <c r="I46" s="1">
        <v>5860</v>
      </c>
      <c r="J46" s="1">
        <v>6438</v>
      </c>
      <c r="K46" s="1">
        <v>4009</v>
      </c>
      <c r="L46" s="1">
        <v>110.863</v>
      </c>
      <c r="M46" s="1">
        <v>1.218</v>
      </c>
      <c r="N46" s="1">
        <v>0.22800000000000001</v>
      </c>
      <c r="O46" s="1">
        <v>2.0052E-3</v>
      </c>
      <c r="P46" s="1">
        <v>0</v>
      </c>
    </row>
    <row r="47" spans="1:16">
      <c r="A47" s="1" t="s">
        <v>14</v>
      </c>
      <c r="B47" s="1" t="s">
        <v>36</v>
      </c>
      <c r="C47" s="1">
        <v>16</v>
      </c>
      <c r="D47" s="1" t="s">
        <v>35</v>
      </c>
      <c r="E47" s="1"/>
      <c r="F47" s="1"/>
      <c r="G47" s="1"/>
      <c r="H47" s="1">
        <v>4</v>
      </c>
      <c r="I47" s="1">
        <v>4983</v>
      </c>
      <c r="J47" s="1">
        <v>5558</v>
      </c>
      <c r="K47" s="1">
        <v>3354</v>
      </c>
      <c r="L47" s="1">
        <v>55.899000000000001</v>
      </c>
      <c r="M47" s="1">
        <v>0.628</v>
      </c>
      <c r="N47" s="1">
        <v>0.114</v>
      </c>
      <c r="O47" s="1">
        <v>1.9835E-3</v>
      </c>
      <c r="P47" s="1">
        <v>-10.824999999999999</v>
      </c>
    </row>
    <row r="48" spans="1:16">
      <c r="A48" s="1" t="s">
        <v>14</v>
      </c>
      <c r="B48" s="1" t="s">
        <v>36</v>
      </c>
      <c r="C48" s="1">
        <v>16</v>
      </c>
      <c r="D48" s="1" t="s">
        <v>35</v>
      </c>
      <c r="E48" s="1"/>
      <c r="F48" s="1"/>
      <c r="G48" s="1"/>
      <c r="H48" s="1">
        <v>5</v>
      </c>
      <c r="I48" s="1">
        <v>5848</v>
      </c>
      <c r="J48" s="1">
        <v>6425</v>
      </c>
      <c r="K48" s="1">
        <v>4001</v>
      </c>
      <c r="L48" s="1">
        <v>110.063</v>
      </c>
      <c r="M48" s="1">
        <v>1.2090000000000001</v>
      </c>
      <c r="N48" s="1">
        <v>0.22600000000000001</v>
      </c>
      <c r="O48" s="1">
        <v>2.0054999999999999E-3</v>
      </c>
      <c r="P48" s="1">
        <v>0.13100000000000001</v>
      </c>
    </row>
    <row r="49" spans="1:16">
      <c r="A49" s="1" t="s">
        <v>14</v>
      </c>
      <c r="B49" s="1" t="s">
        <v>36</v>
      </c>
      <c r="C49" s="1">
        <v>16</v>
      </c>
      <c r="D49" s="1" t="s">
        <v>35</v>
      </c>
      <c r="E49" s="1"/>
      <c r="F49" s="1"/>
      <c r="G49" s="1"/>
      <c r="H49" s="1">
        <v>6</v>
      </c>
      <c r="I49" s="1">
        <v>5850</v>
      </c>
      <c r="J49" s="1">
        <v>6427</v>
      </c>
      <c r="K49" s="1">
        <v>4002</v>
      </c>
      <c r="L49" s="1">
        <v>110.739</v>
      </c>
      <c r="M49" s="1">
        <v>1.2170000000000001</v>
      </c>
      <c r="N49" s="1">
        <v>0.22700000000000001</v>
      </c>
      <c r="O49" s="1">
        <v>2.0052E-3</v>
      </c>
      <c r="P49" s="1">
        <v>0</v>
      </c>
    </row>
    <row r="50" spans="1:16">
      <c r="A50" s="1" t="s">
        <v>14</v>
      </c>
      <c r="B50" s="1" t="s">
        <v>37</v>
      </c>
      <c r="C50" s="1">
        <v>17</v>
      </c>
      <c r="D50" s="1" t="s">
        <v>38</v>
      </c>
      <c r="E50" s="1"/>
      <c r="F50" s="1"/>
      <c r="G50" s="1"/>
      <c r="H50" s="1">
        <v>4</v>
      </c>
      <c r="I50" s="1">
        <v>5289</v>
      </c>
      <c r="J50" s="1">
        <v>5898</v>
      </c>
      <c r="K50" s="1">
        <v>3581</v>
      </c>
      <c r="L50" s="1">
        <v>59.161999999999999</v>
      </c>
      <c r="M50" s="1">
        <v>0.66500000000000004</v>
      </c>
      <c r="N50" s="1">
        <v>0.121</v>
      </c>
      <c r="O50" s="1">
        <v>1.9949999999999998E-3</v>
      </c>
      <c r="P50" s="1">
        <v>-5.093</v>
      </c>
    </row>
    <row r="51" spans="1:16">
      <c r="A51" s="1" t="s">
        <v>14</v>
      </c>
      <c r="B51" s="1" t="s">
        <v>37</v>
      </c>
      <c r="C51" s="1">
        <v>17</v>
      </c>
      <c r="D51" s="1" t="s">
        <v>38</v>
      </c>
      <c r="E51" s="1"/>
      <c r="F51" s="1"/>
      <c r="G51" s="1"/>
      <c r="H51" s="1">
        <v>5</v>
      </c>
      <c r="I51" s="1">
        <v>5847</v>
      </c>
      <c r="J51" s="1">
        <v>6423</v>
      </c>
      <c r="K51" s="1">
        <v>4000</v>
      </c>
      <c r="L51" s="1">
        <v>110.19199999999999</v>
      </c>
      <c r="M51" s="1">
        <v>1.2110000000000001</v>
      </c>
      <c r="N51" s="1">
        <v>0.22600000000000001</v>
      </c>
      <c r="O51" s="1">
        <v>2.0054999999999999E-3</v>
      </c>
      <c r="P51" s="1">
        <v>0.158</v>
      </c>
    </row>
    <row r="52" spans="1:16">
      <c r="A52" s="1" t="s">
        <v>14</v>
      </c>
      <c r="B52" s="1" t="s">
        <v>37</v>
      </c>
      <c r="C52" s="1">
        <v>17</v>
      </c>
      <c r="D52" s="1" t="s">
        <v>38</v>
      </c>
      <c r="E52" s="1"/>
      <c r="F52" s="1"/>
      <c r="G52" s="1"/>
      <c r="H52" s="1">
        <v>6</v>
      </c>
      <c r="I52" s="1">
        <v>5855</v>
      </c>
      <c r="J52" s="1">
        <v>6433</v>
      </c>
      <c r="K52" s="1">
        <v>4006</v>
      </c>
      <c r="L52" s="1">
        <v>110.738</v>
      </c>
      <c r="M52" s="1">
        <v>1.2170000000000001</v>
      </c>
      <c r="N52" s="1">
        <v>0.22700000000000001</v>
      </c>
      <c r="O52" s="1">
        <v>2.0052E-3</v>
      </c>
      <c r="P52" s="1">
        <v>0</v>
      </c>
    </row>
    <row r="53" spans="1:16">
      <c r="A53" s="1" t="s">
        <v>14</v>
      </c>
      <c r="B53" s="1" t="s">
        <v>39</v>
      </c>
      <c r="C53" s="1">
        <v>18</v>
      </c>
      <c r="D53" s="1" t="s">
        <v>38</v>
      </c>
      <c r="E53" s="1"/>
      <c r="F53" s="1"/>
      <c r="G53" s="1"/>
      <c r="H53" s="1">
        <v>4</v>
      </c>
      <c r="I53" s="1">
        <v>5224</v>
      </c>
      <c r="J53" s="1">
        <v>5826</v>
      </c>
      <c r="K53" s="1">
        <v>3538</v>
      </c>
      <c r="L53" s="1">
        <v>58.758000000000003</v>
      </c>
      <c r="M53" s="1">
        <v>0.66</v>
      </c>
      <c r="N53" s="1">
        <v>0.12</v>
      </c>
      <c r="O53" s="1">
        <v>1.9962000000000001E-3</v>
      </c>
      <c r="P53" s="1">
        <v>-4.4690000000000003</v>
      </c>
    </row>
    <row r="54" spans="1:16">
      <c r="A54" s="1" t="s">
        <v>14</v>
      </c>
      <c r="B54" s="1" t="s">
        <v>39</v>
      </c>
      <c r="C54" s="1">
        <v>18</v>
      </c>
      <c r="D54" s="1" t="s">
        <v>38</v>
      </c>
      <c r="E54" s="1"/>
      <c r="F54" s="1"/>
      <c r="G54" s="1"/>
      <c r="H54" s="1">
        <v>5</v>
      </c>
      <c r="I54" s="1">
        <v>5854</v>
      </c>
      <c r="J54" s="1">
        <v>6431</v>
      </c>
      <c r="K54" s="1">
        <v>4005</v>
      </c>
      <c r="L54" s="1">
        <v>110.749</v>
      </c>
      <c r="M54" s="1">
        <v>1.2170000000000001</v>
      </c>
      <c r="N54" s="1">
        <v>0.22700000000000001</v>
      </c>
      <c r="O54" s="1">
        <v>2.0054000000000001E-3</v>
      </c>
      <c r="P54" s="1">
        <v>0.112</v>
      </c>
    </row>
    <row r="55" spans="1:16">
      <c r="A55" s="1" t="s">
        <v>14</v>
      </c>
      <c r="B55" s="1" t="s">
        <v>39</v>
      </c>
      <c r="C55" s="1">
        <v>18</v>
      </c>
      <c r="D55" s="1" t="s">
        <v>38</v>
      </c>
      <c r="E55" s="1"/>
      <c r="F55" s="1"/>
      <c r="G55" s="1"/>
      <c r="H55" s="1">
        <v>6</v>
      </c>
      <c r="I55" s="1">
        <v>5866</v>
      </c>
      <c r="J55" s="1">
        <v>6444</v>
      </c>
      <c r="K55" s="1">
        <v>4012</v>
      </c>
      <c r="L55" s="1">
        <v>110.949</v>
      </c>
      <c r="M55" s="1">
        <v>1.2190000000000001</v>
      </c>
      <c r="N55" s="1">
        <v>0.22800000000000001</v>
      </c>
      <c r="O55" s="1">
        <v>2.0052E-3</v>
      </c>
      <c r="P55" s="1">
        <v>0</v>
      </c>
    </row>
    <row r="56" spans="1:16">
      <c r="A56" s="1" t="s">
        <v>14</v>
      </c>
      <c r="B56" s="1" t="s">
        <v>40</v>
      </c>
      <c r="C56" s="1">
        <v>19</v>
      </c>
      <c r="D56" s="1" t="s">
        <v>41</v>
      </c>
      <c r="E56" s="1"/>
      <c r="F56" s="1"/>
      <c r="G56" s="1"/>
      <c r="H56" s="1">
        <v>4</v>
      </c>
      <c r="I56" s="1">
        <v>4789</v>
      </c>
      <c r="J56" s="1">
        <v>5342</v>
      </c>
      <c r="K56" s="1">
        <v>3253</v>
      </c>
      <c r="L56" s="1">
        <v>53.723999999999997</v>
      </c>
      <c r="M56" s="1">
        <v>0.60399999999999998</v>
      </c>
      <c r="N56" s="1">
        <v>0.11</v>
      </c>
      <c r="O56" s="1">
        <v>2.0016000000000001E-3</v>
      </c>
      <c r="P56" s="1">
        <v>-1.7909999999999999</v>
      </c>
    </row>
    <row r="57" spans="1:16">
      <c r="A57" s="1" t="s">
        <v>14</v>
      </c>
      <c r="B57" s="1" t="s">
        <v>40</v>
      </c>
      <c r="C57" s="1">
        <v>19</v>
      </c>
      <c r="D57" s="1" t="s">
        <v>41</v>
      </c>
      <c r="E57" s="1"/>
      <c r="F57" s="1"/>
      <c r="G57" s="1"/>
      <c r="H57" s="1">
        <v>5</v>
      </c>
      <c r="I57" s="1">
        <v>5847</v>
      </c>
      <c r="J57" s="1">
        <v>6423</v>
      </c>
      <c r="K57" s="1">
        <v>4001</v>
      </c>
      <c r="L57" s="1">
        <v>110.102</v>
      </c>
      <c r="M57" s="1">
        <v>1.21</v>
      </c>
      <c r="N57" s="1">
        <v>0.22600000000000001</v>
      </c>
      <c r="O57" s="1">
        <v>2.0054999999999999E-3</v>
      </c>
      <c r="P57" s="1">
        <v>0.14000000000000001</v>
      </c>
    </row>
    <row r="58" spans="1:16">
      <c r="A58" s="1" t="s">
        <v>14</v>
      </c>
      <c r="B58" s="1" t="s">
        <v>40</v>
      </c>
      <c r="C58" s="1">
        <v>19</v>
      </c>
      <c r="D58" s="1" t="s">
        <v>41</v>
      </c>
      <c r="E58" s="1"/>
      <c r="F58" s="1"/>
      <c r="G58" s="1"/>
      <c r="H58" s="1">
        <v>6</v>
      </c>
      <c r="I58" s="1">
        <v>5847</v>
      </c>
      <c r="J58" s="1">
        <v>6423</v>
      </c>
      <c r="K58" s="1">
        <v>3999</v>
      </c>
      <c r="L58" s="1">
        <v>110.587</v>
      </c>
      <c r="M58" s="1">
        <v>1.2150000000000001</v>
      </c>
      <c r="N58" s="1">
        <v>0.22700000000000001</v>
      </c>
      <c r="O58" s="1">
        <v>2.0052E-3</v>
      </c>
      <c r="P58" s="1">
        <v>0</v>
      </c>
    </row>
    <row r="59" spans="1:16">
      <c r="A59" s="1" t="s">
        <v>14</v>
      </c>
      <c r="B59" s="1" t="s">
        <v>42</v>
      </c>
      <c r="C59" s="1">
        <v>20</v>
      </c>
      <c r="D59" s="1" t="s">
        <v>41</v>
      </c>
      <c r="E59" s="1"/>
      <c r="F59" s="1"/>
      <c r="G59" s="1"/>
      <c r="H59" s="1">
        <v>4</v>
      </c>
      <c r="I59" s="1">
        <v>5100</v>
      </c>
      <c r="J59" s="1">
        <v>5688</v>
      </c>
      <c r="K59" s="1">
        <v>3465</v>
      </c>
      <c r="L59" s="1">
        <v>57.389000000000003</v>
      </c>
      <c r="M59" s="1">
        <v>0.64500000000000002</v>
      </c>
      <c r="N59" s="1">
        <v>0.11799999999999999</v>
      </c>
      <c r="O59" s="1">
        <v>2.0016999999999999E-3</v>
      </c>
      <c r="P59" s="1">
        <v>-1.7669999999999999</v>
      </c>
    </row>
    <row r="60" spans="1:16">
      <c r="A60" s="1" t="s">
        <v>14</v>
      </c>
      <c r="B60" s="1" t="s">
        <v>42</v>
      </c>
      <c r="C60" s="1">
        <v>20</v>
      </c>
      <c r="D60" s="1" t="s">
        <v>41</v>
      </c>
      <c r="E60" s="1"/>
      <c r="F60" s="1"/>
      <c r="G60" s="1"/>
      <c r="H60" s="1">
        <v>5</v>
      </c>
      <c r="I60" s="1">
        <v>5859</v>
      </c>
      <c r="J60" s="1">
        <v>6437</v>
      </c>
      <c r="K60" s="1">
        <v>4009</v>
      </c>
      <c r="L60" s="1">
        <v>110.499</v>
      </c>
      <c r="M60" s="1">
        <v>1.214</v>
      </c>
      <c r="N60" s="1">
        <v>0.22700000000000001</v>
      </c>
      <c r="O60" s="1">
        <v>2.0054999999999999E-3</v>
      </c>
      <c r="P60" s="1">
        <v>0.16400000000000001</v>
      </c>
    </row>
    <row r="61" spans="1:16">
      <c r="A61" s="1" t="s">
        <v>14</v>
      </c>
      <c r="B61" s="1" t="s">
        <v>42</v>
      </c>
      <c r="C61" s="1">
        <v>20</v>
      </c>
      <c r="D61" s="1" t="s">
        <v>41</v>
      </c>
      <c r="E61" s="1"/>
      <c r="F61" s="1"/>
      <c r="G61" s="1"/>
      <c r="H61" s="1">
        <v>6</v>
      </c>
      <c r="I61" s="1">
        <v>5859</v>
      </c>
      <c r="J61" s="1">
        <v>6436</v>
      </c>
      <c r="K61" s="1">
        <v>4007</v>
      </c>
      <c r="L61" s="1">
        <v>110.797</v>
      </c>
      <c r="M61" s="1">
        <v>1.2170000000000001</v>
      </c>
      <c r="N61" s="1">
        <v>0.22700000000000001</v>
      </c>
      <c r="O61" s="1">
        <v>2.0052E-3</v>
      </c>
      <c r="P61" s="1">
        <v>0</v>
      </c>
    </row>
    <row r="62" spans="1:16">
      <c r="A62" s="1" t="s">
        <v>14</v>
      </c>
      <c r="B62" s="1" t="s">
        <v>43</v>
      </c>
      <c r="C62" s="1">
        <v>21</v>
      </c>
      <c r="D62" s="1" t="s">
        <v>44</v>
      </c>
      <c r="E62" s="1"/>
      <c r="F62" s="1"/>
      <c r="G62" s="1"/>
      <c r="H62" s="1">
        <v>4</v>
      </c>
      <c r="I62" s="1">
        <v>4902</v>
      </c>
      <c r="J62" s="1">
        <v>5468</v>
      </c>
      <c r="K62" s="1">
        <v>3316</v>
      </c>
      <c r="L62" s="1">
        <v>54.96</v>
      </c>
      <c r="M62" s="1">
        <v>0.61799999999999999</v>
      </c>
      <c r="N62" s="1">
        <v>0.112</v>
      </c>
      <c r="O62" s="1">
        <v>1.993E-3</v>
      </c>
      <c r="P62" s="1">
        <v>-6.0709999999999997</v>
      </c>
    </row>
    <row r="63" spans="1:16">
      <c r="A63" s="1" t="s">
        <v>14</v>
      </c>
      <c r="B63" s="1" t="s">
        <v>43</v>
      </c>
      <c r="C63" s="1">
        <v>21</v>
      </c>
      <c r="D63" s="1" t="s">
        <v>44</v>
      </c>
      <c r="E63" s="1"/>
      <c r="F63" s="1"/>
      <c r="G63" s="1"/>
      <c r="H63" s="1">
        <v>5</v>
      </c>
      <c r="I63" s="1">
        <v>5849</v>
      </c>
      <c r="J63" s="1">
        <v>6426</v>
      </c>
      <c r="K63" s="1">
        <v>4002</v>
      </c>
      <c r="L63" s="1">
        <v>110.059</v>
      </c>
      <c r="M63" s="1">
        <v>1.2090000000000001</v>
      </c>
      <c r="N63" s="1">
        <v>0.22600000000000001</v>
      </c>
      <c r="O63" s="1">
        <v>2.0056000000000002E-3</v>
      </c>
      <c r="P63" s="1">
        <v>0.183</v>
      </c>
    </row>
    <row r="64" spans="1:16">
      <c r="A64" s="1" t="s">
        <v>14</v>
      </c>
      <c r="B64" s="1" t="s">
        <v>43</v>
      </c>
      <c r="C64" s="1">
        <v>21</v>
      </c>
      <c r="D64" s="1" t="s">
        <v>44</v>
      </c>
      <c r="E64" s="1"/>
      <c r="F64" s="1"/>
      <c r="G64" s="1"/>
      <c r="H64" s="1">
        <v>6</v>
      </c>
      <c r="I64" s="1">
        <v>5848</v>
      </c>
      <c r="J64" s="1">
        <v>6425</v>
      </c>
      <c r="K64" s="1">
        <v>4001</v>
      </c>
      <c r="L64" s="1">
        <v>111.277</v>
      </c>
      <c r="M64" s="1">
        <v>1.222</v>
      </c>
      <c r="N64" s="1">
        <v>0.22800000000000001</v>
      </c>
      <c r="O64" s="1">
        <v>2.0052E-3</v>
      </c>
      <c r="P64" s="1">
        <v>0</v>
      </c>
    </row>
    <row r="65" spans="1:16">
      <c r="A65" s="1" t="s">
        <v>14</v>
      </c>
      <c r="B65" s="1" t="s">
        <v>45</v>
      </c>
      <c r="C65" s="1">
        <v>22</v>
      </c>
      <c r="D65" s="1" t="s">
        <v>44</v>
      </c>
      <c r="E65" s="1"/>
      <c r="F65" s="1"/>
      <c r="G65" s="1"/>
      <c r="H65" s="1">
        <v>4</v>
      </c>
      <c r="I65" s="1">
        <v>4935</v>
      </c>
      <c r="J65" s="1">
        <v>5504</v>
      </c>
      <c r="K65" s="1">
        <v>3337</v>
      </c>
      <c r="L65" s="1">
        <v>54.981999999999999</v>
      </c>
      <c r="M65" s="1">
        <v>0.61799999999999999</v>
      </c>
      <c r="N65" s="1">
        <v>0.112</v>
      </c>
      <c r="O65" s="1">
        <v>1.9927E-3</v>
      </c>
      <c r="P65" s="1">
        <v>-6.21</v>
      </c>
    </row>
    <row r="66" spans="1:16">
      <c r="A66" s="1" t="s">
        <v>14</v>
      </c>
      <c r="B66" s="1" t="s">
        <v>45</v>
      </c>
      <c r="C66" s="1">
        <v>22</v>
      </c>
      <c r="D66" s="1" t="s">
        <v>44</v>
      </c>
      <c r="E66" s="1"/>
      <c r="F66" s="1"/>
      <c r="G66" s="1"/>
      <c r="H66" s="1">
        <v>5</v>
      </c>
      <c r="I66" s="1">
        <v>5859</v>
      </c>
      <c r="J66" s="1">
        <v>6437</v>
      </c>
      <c r="K66" s="1">
        <v>4010</v>
      </c>
      <c r="L66" s="1">
        <v>110.18899999999999</v>
      </c>
      <c r="M66" s="1">
        <v>1.2110000000000001</v>
      </c>
      <c r="N66" s="1">
        <v>0.22600000000000001</v>
      </c>
      <c r="O66" s="1">
        <v>2.0054999999999999E-3</v>
      </c>
      <c r="P66" s="1">
        <v>0.16300000000000001</v>
      </c>
    </row>
    <row r="67" spans="1:16">
      <c r="A67" s="1" t="s">
        <v>14</v>
      </c>
      <c r="B67" s="1" t="s">
        <v>45</v>
      </c>
      <c r="C67" s="1">
        <v>22</v>
      </c>
      <c r="D67" s="1" t="s">
        <v>44</v>
      </c>
      <c r="E67" s="1"/>
      <c r="F67" s="1"/>
      <c r="G67" s="1"/>
      <c r="H67" s="1">
        <v>6</v>
      </c>
      <c r="I67" s="1">
        <v>5854</v>
      </c>
      <c r="J67" s="1">
        <v>6432</v>
      </c>
      <c r="K67" s="1">
        <v>4005</v>
      </c>
      <c r="L67" s="1">
        <v>110.789</v>
      </c>
      <c r="M67" s="1">
        <v>1.2170000000000001</v>
      </c>
      <c r="N67" s="1">
        <v>0.22700000000000001</v>
      </c>
      <c r="O67" s="1">
        <v>2.0052E-3</v>
      </c>
      <c r="P67" s="1">
        <v>0</v>
      </c>
    </row>
    <row r="68" spans="1:16">
      <c r="A68" s="1" t="s">
        <v>14</v>
      </c>
      <c r="B68" s="1" t="s">
        <v>46</v>
      </c>
      <c r="C68" s="1">
        <v>23</v>
      </c>
      <c r="D68" s="1" t="s">
        <v>20</v>
      </c>
      <c r="E68" s="1"/>
      <c r="F68" s="1"/>
      <c r="G68" s="1"/>
      <c r="H68" s="1">
        <v>4</v>
      </c>
      <c r="I68" s="1">
        <v>5066</v>
      </c>
      <c r="J68" s="1">
        <v>5652</v>
      </c>
      <c r="K68" s="1">
        <v>3432</v>
      </c>
      <c r="L68" s="1">
        <v>56.874000000000002</v>
      </c>
      <c r="M68" s="1">
        <v>0.63900000000000001</v>
      </c>
      <c r="N68" s="1">
        <v>0.11600000000000001</v>
      </c>
      <c r="O68" s="1">
        <v>1.9962000000000001E-3</v>
      </c>
      <c r="P68" s="1">
        <v>-4.4889999999999999</v>
      </c>
    </row>
    <row r="69" spans="1:16">
      <c r="A69" s="1" t="s">
        <v>14</v>
      </c>
      <c r="B69" s="1" t="s">
        <v>46</v>
      </c>
      <c r="C69" s="1">
        <v>23</v>
      </c>
      <c r="D69" s="1" t="s">
        <v>20</v>
      </c>
      <c r="E69" s="1"/>
      <c r="F69" s="1"/>
      <c r="G69" s="1"/>
      <c r="H69" s="1">
        <v>5</v>
      </c>
      <c r="I69" s="1">
        <v>5856</v>
      </c>
      <c r="J69" s="1">
        <v>6434</v>
      </c>
      <c r="K69" s="1">
        <v>4007</v>
      </c>
      <c r="L69" s="1">
        <v>110.249</v>
      </c>
      <c r="M69" s="1">
        <v>1.2110000000000001</v>
      </c>
      <c r="N69" s="1">
        <v>0.22600000000000001</v>
      </c>
      <c r="O69" s="1">
        <v>2.0056000000000002E-3</v>
      </c>
      <c r="P69" s="1">
        <v>0.17799999999999999</v>
      </c>
    </row>
    <row r="70" spans="1:16">
      <c r="A70" s="1" t="s">
        <v>14</v>
      </c>
      <c r="B70" s="1" t="s">
        <v>46</v>
      </c>
      <c r="C70" s="1">
        <v>23</v>
      </c>
      <c r="D70" s="1" t="s">
        <v>20</v>
      </c>
      <c r="E70" s="1"/>
      <c r="F70" s="1"/>
      <c r="G70" s="1"/>
      <c r="H70" s="1">
        <v>6</v>
      </c>
      <c r="I70" s="1">
        <v>5859</v>
      </c>
      <c r="J70" s="1">
        <v>6437</v>
      </c>
      <c r="K70" s="1">
        <v>4008</v>
      </c>
      <c r="L70" s="1">
        <v>110.925</v>
      </c>
      <c r="M70" s="1">
        <v>1.2190000000000001</v>
      </c>
      <c r="N70" s="1">
        <v>0.22800000000000001</v>
      </c>
      <c r="O70" s="1">
        <v>2.0052E-3</v>
      </c>
      <c r="P70" s="1">
        <v>0</v>
      </c>
    </row>
    <row r="71" spans="1:16">
      <c r="A71" s="1" t="s">
        <v>14</v>
      </c>
      <c r="B71" s="1" t="s">
        <v>47</v>
      </c>
      <c r="C71" s="1">
        <v>24</v>
      </c>
      <c r="D71" s="1" t="s">
        <v>20</v>
      </c>
      <c r="E71" s="1"/>
      <c r="F71" s="1"/>
      <c r="G71" s="1"/>
      <c r="H71" s="1">
        <v>4</v>
      </c>
      <c r="I71" s="1">
        <v>5032</v>
      </c>
      <c r="J71" s="1">
        <v>5612</v>
      </c>
      <c r="K71" s="1">
        <v>3409</v>
      </c>
      <c r="L71" s="1">
        <v>56.07</v>
      </c>
      <c r="M71" s="1">
        <v>0.63</v>
      </c>
      <c r="N71" s="1">
        <v>0.115</v>
      </c>
      <c r="O71" s="1">
        <v>1.9959000000000001E-3</v>
      </c>
      <c r="P71" s="1">
        <v>-4.6360000000000001</v>
      </c>
    </row>
    <row r="72" spans="1:16">
      <c r="A72" s="1" t="s">
        <v>14</v>
      </c>
      <c r="B72" s="1" t="s">
        <v>47</v>
      </c>
      <c r="C72" s="1">
        <v>24</v>
      </c>
      <c r="D72" s="1" t="s">
        <v>20</v>
      </c>
      <c r="E72" s="1"/>
      <c r="F72" s="1"/>
      <c r="G72" s="1"/>
      <c r="H72" s="1">
        <v>5</v>
      </c>
      <c r="I72" s="1">
        <v>5842</v>
      </c>
      <c r="J72" s="1">
        <v>6417</v>
      </c>
      <c r="K72" s="1">
        <v>3995</v>
      </c>
      <c r="L72" s="1">
        <v>109.569</v>
      </c>
      <c r="M72" s="1">
        <v>1.204</v>
      </c>
      <c r="N72" s="1">
        <v>0.22500000000000001</v>
      </c>
      <c r="O72" s="1">
        <v>2.0054999999999999E-3</v>
      </c>
      <c r="P72" s="1">
        <v>0.158</v>
      </c>
    </row>
    <row r="73" spans="1:16">
      <c r="A73" s="1" t="s">
        <v>14</v>
      </c>
      <c r="B73" s="1" t="s">
        <v>47</v>
      </c>
      <c r="C73" s="1">
        <v>24</v>
      </c>
      <c r="D73" s="1" t="s">
        <v>20</v>
      </c>
      <c r="E73" s="1"/>
      <c r="F73" s="1"/>
      <c r="G73" s="1"/>
      <c r="H73" s="1">
        <v>6</v>
      </c>
      <c r="I73" s="1">
        <v>5841</v>
      </c>
      <c r="J73" s="1">
        <v>6417</v>
      </c>
      <c r="K73" s="1">
        <v>3995</v>
      </c>
      <c r="L73" s="1">
        <v>110.55</v>
      </c>
      <c r="M73" s="1">
        <v>1.214</v>
      </c>
      <c r="N73" s="1">
        <v>0.22700000000000001</v>
      </c>
      <c r="O73" s="1">
        <v>2.0052E-3</v>
      </c>
      <c r="P73" s="1">
        <v>0</v>
      </c>
    </row>
    <row r="74" spans="1:16">
      <c r="A74" s="1" t="s">
        <v>14</v>
      </c>
      <c r="B74" s="1" t="s">
        <v>48</v>
      </c>
      <c r="C74" s="1">
        <v>25</v>
      </c>
      <c r="D74" s="1" t="s">
        <v>49</v>
      </c>
      <c r="E74" s="1"/>
      <c r="F74" s="1"/>
      <c r="G74" s="1"/>
      <c r="H74" s="1">
        <v>4</v>
      </c>
      <c r="I74" s="1">
        <v>4948</v>
      </c>
      <c r="J74" s="1">
        <v>5519</v>
      </c>
      <c r="K74" s="1">
        <v>3335</v>
      </c>
      <c r="L74" s="1">
        <v>55.597000000000001</v>
      </c>
      <c r="M74" s="1">
        <v>0.625</v>
      </c>
      <c r="N74" s="1">
        <v>0.113</v>
      </c>
      <c r="O74" s="1">
        <v>1.9859999999999999E-3</v>
      </c>
      <c r="P74" s="1">
        <v>-9.5619999999999994</v>
      </c>
    </row>
    <row r="75" spans="1:16">
      <c r="A75" s="1" t="s">
        <v>14</v>
      </c>
      <c r="B75" s="1" t="s">
        <v>48</v>
      </c>
      <c r="C75" s="1">
        <v>25</v>
      </c>
      <c r="D75" s="1" t="s">
        <v>49</v>
      </c>
      <c r="E75" s="1"/>
      <c r="F75" s="1"/>
      <c r="G75" s="1"/>
      <c r="H75" s="1">
        <v>5</v>
      </c>
      <c r="I75" s="1">
        <v>5843</v>
      </c>
      <c r="J75" s="1">
        <v>6419</v>
      </c>
      <c r="K75" s="1">
        <v>3997</v>
      </c>
      <c r="L75" s="1">
        <v>110.11499999999999</v>
      </c>
      <c r="M75" s="1">
        <v>1.21</v>
      </c>
      <c r="N75" s="1">
        <v>0.22600000000000001</v>
      </c>
      <c r="O75" s="1">
        <v>2.0056000000000002E-3</v>
      </c>
      <c r="P75" s="1">
        <v>0.18</v>
      </c>
    </row>
    <row r="76" spans="1:16">
      <c r="A76" s="1" t="s">
        <v>14</v>
      </c>
      <c r="B76" s="1" t="s">
        <v>48</v>
      </c>
      <c r="C76" s="1">
        <v>25</v>
      </c>
      <c r="D76" s="1" t="s">
        <v>49</v>
      </c>
      <c r="E76" s="1"/>
      <c r="F76" s="1"/>
      <c r="G76" s="1"/>
      <c r="H76" s="1">
        <v>6</v>
      </c>
      <c r="I76" s="1">
        <v>5849</v>
      </c>
      <c r="J76" s="1">
        <v>6425</v>
      </c>
      <c r="K76" s="1">
        <v>4001</v>
      </c>
      <c r="L76" s="1">
        <v>110.678</v>
      </c>
      <c r="M76" s="1">
        <v>1.216</v>
      </c>
      <c r="N76" s="1">
        <v>0.22700000000000001</v>
      </c>
      <c r="O76" s="1">
        <v>2.0052E-3</v>
      </c>
      <c r="P76" s="1">
        <v>0</v>
      </c>
    </row>
    <row r="77" spans="1:16">
      <c r="A77" s="1" t="s">
        <v>14</v>
      </c>
      <c r="B77" s="1" t="s">
        <v>50</v>
      </c>
      <c r="C77" s="1">
        <v>26</v>
      </c>
      <c r="D77" s="1" t="s">
        <v>49</v>
      </c>
      <c r="E77" s="1"/>
      <c r="F77" s="1"/>
      <c r="G77" s="1"/>
      <c r="H77" s="1">
        <v>4</v>
      </c>
      <c r="I77" s="1">
        <v>4931</v>
      </c>
      <c r="J77" s="1">
        <v>5500</v>
      </c>
      <c r="K77" s="1">
        <v>3323</v>
      </c>
      <c r="L77" s="1">
        <v>55.024000000000001</v>
      </c>
      <c r="M77" s="1">
        <v>0.61799999999999999</v>
      </c>
      <c r="N77" s="1">
        <v>0.112</v>
      </c>
      <c r="O77" s="1">
        <v>1.9853000000000002E-3</v>
      </c>
      <c r="P77" s="1">
        <v>-9.8989999999999991</v>
      </c>
    </row>
    <row r="78" spans="1:16">
      <c r="A78" s="1" t="s">
        <v>14</v>
      </c>
      <c r="B78" s="1" t="s">
        <v>50</v>
      </c>
      <c r="C78" s="1">
        <v>26</v>
      </c>
      <c r="D78" s="1" t="s">
        <v>49</v>
      </c>
      <c r="E78" s="1"/>
      <c r="F78" s="1"/>
      <c r="G78" s="1"/>
      <c r="H78" s="1">
        <v>5</v>
      </c>
      <c r="I78" s="1">
        <v>5850</v>
      </c>
      <c r="J78" s="1">
        <v>6427</v>
      </c>
      <c r="K78" s="1">
        <v>4003</v>
      </c>
      <c r="L78" s="1">
        <v>109.999</v>
      </c>
      <c r="M78" s="1">
        <v>1.208</v>
      </c>
      <c r="N78" s="1">
        <v>0.22600000000000001</v>
      </c>
      <c r="O78" s="1">
        <v>2.0056000000000002E-3</v>
      </c>
      <c r="P78" s="1">
        <v>0.18</v>
      </c>
    </row>
    <row r="79" spans="1:16">
      <c r="A79" s="1" t="s">
        <v>14</v>
      </c>
      <c r="B79" s="1" t="s">
        <v>50</v>
      </c>
      <c r="C79" s="1">
        <v>26</v>
      </c>
      <c r="D79" s="1" t="s">
        <v>49</v>
      </c>
      <c r="E79" s="1"/>
      <c r="F79" s="1"/>
      <c r="G79" s="1"/>
      <c r="H79" s="1">
        <v>6</v>
      </c>
      <c r="I79" s="1">
        <v>5850</v>
      </c>
      <c r="J79" s="1">
        <v>6427</v>
      </c>
      <c r="K79" s="1">
        <v>4001</v>
      </c>
      <c r="L79" s="1">
        <v>110.82</v>
      </c>
      <c r="M79" s="1">
        <v>1.2170000000000001</v>
      </c>
      <c r="N79" s="1">
        <v>0.22700000000000001</v>
      </c>
      <c r="O79" s="1">
        <v>2.0052E-3</v>
      </c>
      <c r="P79" s="1">
        <v>0</v>
      </c>
    </row>
    <row r="80" spans="1:16">
      <c r="A80" s="1" t="s">
        <v>14</v>
      </c>
      <c r="B80" s="1" t="s">
        <v>51</v>
      </c>
      <c r="C80" s="1">
        <v>27</v>
      </c>
      <c r="D80" s="1" t="s">
        <v>52</v>
      </c>
      <c r="E80" s="1"/>
      <c r="F80" s="1"/>
      <c r="G80" s="1"/>
      <c r="H80" s="1">
        <v>4</v>
      </c>
      <c r="I80" s="1">
        <v>4905</v>
      </c>
      <c r="J80" s="1">
        <v>5471</v>
      </c>
      <c r="K80" s="1">
        <v>3290</v>
      </c>
      <c r="L80" s="1">
        <v>55.267000000000003</v>
      </c>
      <c r="M80" s="1">
        <v>0.621</v>
      </c>
      <c r="N80" s="1">
        <v>0.112</v>
      </c>
      <c r="O80" s="1">
        <v>1.977E-3</v>
      </c>
      <c r="P80" s="1">
        <v>-14.07</v>
      </c>
    </row>
    <row r="81" spans="1:16">
      <c r="A81" s="1" t="s">
        <v>14</v>
      </c>
      <c r="B81" s="1" t="s">
        <v>51</v>
      </c>
      <c r="C81" s="1">
        <v>27</v>
      </c>
      <c r="D81" s="1" t="s">
        <v>52</v>
      </c>
      <c r="E81" s="1"/>
      <c r="F81" s="1"/>
      <c r="G81" s="1"/>
      <c r="H81" s="1">
        <v>5</v>
      </c>
      <c r="I81" s="1">
        <v>5844</v>
      </c>
      <c r="J81" s="1">
        <v>6420</v>
      </c>
      <c r="K81" s="1">
        <v>3999</v>
      </c>
      <c r="L81" s="1">
        <v>110.032</v>
      </c>
      <c r="M81" s="1">
        <v>1.2090000000000001</v>
      </c>
      <c r="N81" s="1">
        <v>0.22600000000000001</v>
      </c>
      <c r="O81" s="1">
        <v>2.0054999999999999E-3</v>
      </c>
      <c r="P81" s="1">
        <v>0.13800000000000001</v>
      </c>
    </row>
    <row r="82" spans="1:16">
      <c r="A82" s="1" t="s">
        <v>14</v>
      </c>
      <c r="B82" s="1" t="s">
        <v>51</v>
      </c>
      <c r="C82" s="1">
        <v>27</v>
      </c>
      <c r="D82" s="1" t="s">
        <v>52</v>
      </c>
      <c r="E82" s="1"/>
      <c r="F82" s="1"/>
      <c r="G82" s="1"/>
      <c r="H82" s="1">
        <v>6</v>
      </c>
      <c r="I82" s="1">
        <v>5844</v>
      </c>
      <c r="J82" s="1">
        <v>6420</v>
      </c>
      <c r="K82" s="1">
        <v>3998</v>
      </c>
      <c r="L82" s="1">
        <v>110.595</v>
      </c>
      <c r="M82" s="1">
        <v>1.2150000000000001</v>
      </c>
      <c r="N82" s="1">
        <v>0.22700000000000001</v>
      </c>
      <c r="O82" s="1">
        <v>2.0052E-3</v>
      </c>
      <c r="P82" s="1">
        <v>0</v>
      </c>
    </row>
    <row r="83" spans="1:16">
      <c r="A83" s="1" t="s">
        <v>14</v>
      </c>
      <c r="B83" s="1" t="s">
        <v>53</v>
      </c>
      <c r="C83" s="1">
        <v>28</v>
      </c>
      <c r="D83" s="1" t="s">
        <v>52</v>
      </c>
      <c r="E83" s="1"/>
      <c r="F83" s="1"/>
      <c r="G83" s="1"/>
      <c r="H83" s="1">
        <v>4</v>
      </c>
      <c r="I83" s="1">
        <v>4984</v>
      </c>
      <c r="J83" s="1">
        <v>5559</v>
      </c>
      <c r="K83" s="1">
        <v>3343</v>
      </c>
      <c r="L83" s="1">
        <v>55.76</v>
      </c>
      <c r="M83" s="1">
        <v>0.626</v>
      </c>
      <c r="N83" s="1">
        <v>0.113</v>
      </c>
      <c r="O83" s="1">
        <v>1.9765E-3</v>
      </c>
      <c r="P83" s="1">
        <v>-14.33</v>
      </c>
    </row>
    <row r="84" spans="1:16">
      <c r="A84" s="1" t="s">
        <v>14</v>
      </c>
      <c r="B84" s="1" t="s">
        <v>53</v>
      </c>
      <c r="C84" s="1">
        <v>28</v>
      </c>
      <c r="D84" s="1" t="s">
        <v>52</v>
      </c>
      <c r="E84" s="1"/>
      <c r="F84" s="1"/>
      <c r="G84" s="1"/>
      <c r="H84" s="1">
        <v>5</v>
      </c>
      <c r="I84" s="1">
        <v>5866</v>
      </c>
      <c r="J84" s="1">
        <v>6444</v>
      </c>
      <c r="K84" s="1">
        <v>4013</v>
      </c>
      <c r="L84" s="1">
        <v>110.532</v>
      </c>
      <c r="M84" s="1">
        <v>1.214</v>
      </c>
      <c r="N84" s="1">
        <v>0.22700000000000001</v>
      </c>
      <c r="O84" s="1">
        <v>2.0056000000000002E-3</v>
      </c>
      <c r="P84" s="1">
        <v>0.21</v>
      </c>
    </row>
    <row r="85" spans="1:16">
      <c r="A85" s="1" t="s">
        <v>14</v>
      </c>
      <c r="B85" s="1" t="s">
        <v>53</v>
      </c>
      <c r="C85" s="1">
        <v>28</v>
      </c>
      <c r="D85" s="1" t="s">
        <v>52</v>
      </c>
      <c r="E85" s="1"/>
      <c r="F85" s="1"/>
      <c r="G85" s="1"/>
      <c r="H85" s="1">
        <v>6</v>
      </c>
      <c r="I85" s="1">
        <v>5860</v>
      </c>
      <c r="J85" s="1">
        <v>6437</v>
      </c>
      <c r="K85" s="1">
        <v>4008</v>
      </c>
      <c r="L85" s="1">
        <v>110.849</v>
      </c>
      <c r="M85" s="1">
        <v>1.218</v>
      </c>
      <c r="N85" s="1">
        <v>0.22800000000000001</v>
      </c>
      <c r="O85" s="1">
        <v>2.0052E-3</v>
      </c>
      <c r="P85" s="1">
        <v>0</v>
      </c>
    </row>
    <row r="86" spans="1:16">
      <c r="A86" s="1" t="s">
        <v>14</v>
      </c>
      <c r="B86" s="1" t="s">
        <v>54</v>
      </c>
      <c r="C86" s="1">
        <v>29</v>
      </c>
      <c r="D86" s="1" t="s">
        <v>55</v>
      </c>
      <c r="E86" s="1"/>
      <c r="F86" s="1"/>
      <c r="G86" s="1"/>
      <c r="H86" s="1">
        <v>4</v>
      </c>
      <c r="I86" s="1">
        <v>5049</v>
      </c>
      <c r="J86" s="1">
        <v>5630</v>
      </c>
      <c r="K86" s="1">
        <v>3409</v>
      </c>
      <c r="L86" s="1">
        <v>55.293999999999997</v>
      </c>
      <c r="M86" s="1">
        <v>0.621</v>
      </c>
      <c r="N86" s="1">
        <v>0.113</v>
      </c>
      <c r="O86" s="1">
        <v>1.9894999999999999E-3</v>
      </c>
      <c r="P86" s="1">
        <v>-7.8310000000000004</v>
      </c>
    </row>
    <row r="87" spans="1:16">
      <c r="A87" s="1" t="s">
        <v>14</v>
      </c>
      <c r="B87" s="1" t="s">
        <v>54</v>
      </c>
      <c r="C87" s="1">
        <v>29</v>
      </c>
      <c r="D87" s="1" t="s">
        <v>55</v>
      </c>
      <c r="E87" s="1"/>
      <c r="F87" s="1"/>
      <c r="G87" s="1"/>
      <c r="H87" s="1">
        <v>5</v>
      </c>
      <c r="I87" s="1">
        <v>5848</v>
      </c>
      <c r="J87" s="1">
        <v>6424</v>
      </c>
      <c r="K87" s="1">
        <v>4002</v>
      </c>
      <c r="L87" s="1">
        <v>109.896</v>
      </c>
      <c r="M87" s="1">
        <v>1.2070000000000001</v>
      </c>
      <c r="N87" s="1">
        <v>0.22600000000000001</v>
      </c>
      <c r="O87" s="1">
        <v>2.0054999999999999E-3</v>
      </c>
      <c r="P87" s="1">
        <v>0.159</v>
      </c>
    </row>
    <row r="88" spans="1:16">
      <c r="A88" s="1" t="s">
        <v>14</v>
      </c>
      <c r="B88" s="1" t="s">
        <v>54</v>
      </c>
      <c r="C88" s="1">
        <v>29</v>
      </c>
      <c r="D88" s="1" t="s">
        <v>55</v>
      </c>
      <c r="E88" s="1"/>
      <c r="F88" s="1"/>
      <c r="G88" s="1"/>
      <c r="H88" s="1">
        <v>6</v>
      </c>
      <c r="I88" s="1">
        <v>5842</v>
      </c>
      <c r="J88" s="1">
        <v>6417</v>
      </c>
      <c r="K88" s="1">
        <v>3996</v>
      </c>
      <c r="L88" s="1">
        <v>110.505</v>
      </c>
      <c r="M88" s="1">
        <v>1.214</v>
      </c>
      <c r="N88" s="1">
        <v>0.22700000000000001</v>
      </c>
      <c r="O88" s="1">
        <v>2.0052E-3</v>
      </c>
      <c r="P88" s="1">
        <v>0</v>
      </c>
    </row>
    <row r="89" spans="1:16">
      <c r="A89" s="1" t="s">
        <v>14</v>
      </c>
      <c r="B89" s="1" t="s">
        <v>56</v>
      </c>
      <c r="C89" s="1">
        <v>30</v>
      </c>
      <c r="D89" s="1" t="s">
        <v>55</v>
      </c>
      <c r="E89" s="1"/>
      <c r="F89" s="1"/>
      <c r="G89" s="1"/>
      <c r="H89" s="1">
        <v>4</v>
      </c>
      <c r="I89" s="1">
        <v>5051</v>
      </c>
      <c r="J89" s="1">
        <v>5633</v>
      </c>
      <c r="K89" s="1">
        <v>3412</v>
      </c>
      <c r="L89" s="1">
        <v>56.61</v>
      </c>
      <c r="M89" s="1">
        <v>0.63600000000000001</v>
      </c>
      <c r="N89" s="1">
        <v>0.115</v>
      </c>
      <c r="O89" s="1">
        <v>1.9908E-3</v>
      </c>
      <c r="P89" s="1">
        <v>-7.1970000000000001</v>
      </c>
    </row>
    <row r="90" spans="1:16">
      <c r="A90" s="1" t="s">
        <v>14</v>
      </c>
      <c r="B90" s="1" t="s">
        <v>56</v>
      </c>
      <c r="C90" s="1">
        <v>30</v>
      </c>
      <c r="D90" s="1" t="s">
        <v>55</v>
      </c>
      <c r="E90" s="1"/>
      <c r="F90" s="1"/>
      <c r="G90" s="1"/>
      <c r="H90" s="1">
        <v>5</v>
      </c>
      <c r="I90" s="1">
        <v>5846</v>
      </c>
      <c r="J90" s="1">
        <v>6423</v>
      </c>
      <c r="K90" s="1">
        <v>4000</v>
      </c>
      <c r="L90" s="1">
        <v>110.19199999999999</v>
      </c>
      <c r="M90" s="1">
        <v>1.2110000000000001</v>
      </c>
      <c r="N90" s="1">
        <v>0.22600000000000001</v>
      </c>
      <c r="O90" s="1">
        <v>2.0056000000000002E-3</v>
      </c>
      <c r="P90" s="1">
        <v>0.17799999999999999</v>
      </c>
    </row>
    <row r="91" spans="1:16">
      <c r="A91" s="1" t="s">
        <v>14</v>
      </c>
      <c r="B91" s="1" t="s">
        <v>56</v>
      </c>
      <c r="C91" s="1">
        <v>30</v>
      </c>
      <c r="D91" s="1" t="s">
        <v>55</v>
      </c>
      <c r="E91" s="1"/>
      <c r="F91" s="1"/>
      <c r="G91" s="1"/>
      <c r="H91" s="1">
        <v>6</v>
      </c>
      <c r="I91" s="1">
        <v>5850</v>
      </c>
      <c r="J91" s="1">
        <v>6426</v>
      </c>
      <c r="K91" s="1">
        <v>4002</v>
      </c>
      <c r="L91" s="1">
        <v>110.77</v>
      </c>
      <c r="M91" s="1">
        <v>1.2170000000000001</v>
      </c>
      <c r="N91" s="1">
        <v>0.22700000000000001</v>
      </c>
      <c r="O91" s="1">
        <v>2.0052E-3</v>
      </c>
      <c r="P91" s="1">
        <v>0</v>
      </c>
    </row>
    <row r="92" spans="1:16">
      <c r="A92" s="1" t="s">
        <v>14</v>
      </c>
      <c r="B92" s="1" t="s">
        <v>57</v>
      </c>
      <c r="C92" s="1">
        <v>31</v>
      </c>
      <c r="D92" s="1" t="s">
        <v>58</v>
      </c>
      <c r="E92" s="1"/>
      <c r="F92" s="1"/>
      <c r="G92" s="1"/>
      <c r="H92" s="1">
        <v>4</v>
      </c>
      <c r="I92" s="1">
        <v>4909</v>
      </c>
      <c r="J92" s="1">
        <v>5476</v>
      </c>
      <c r="K92" s="1">
        <v>3333</v>
      </c>
      <c r="L92" s="1">
        <v>54.860999999999997</v>
      </c>
      <c r="M92" s="1">
        <v>0.61699999999999999</v>
      </c>
      <c r="N92" s="1">
        <v>0.112</v>
      </c>
      <c r="O92" s="1">
        <v>2.0003E-3</v>
      </c>
      <c r="P92" s="1">
        <v>-2.4409999999999998</v>
      </c>
    </row>
    <row r="93" spans="1:16">
      <c r="A93" s="1" t="s">
        <v>14</v>
      </c>
      <c r="B93" s="1" t="s">
        <v>57</v>
      </c>
      <c r="C93" s="1">
        <v>31</v>
      </c>
      <c r="D93" s="1" t="s">
        <v>58</v>
      </c>
      <c r="E93" s="1"/>
      <c r="F93" s="1"/>
      <c r="G93" s="1"/>
      <c r="H93" s="1">
        <v>5</v>
      </c>
      <c r="I93" s="1">
        <v>5852</v>
      </c>
      <c r="J93" s="1">
        <v>6429</v>
      </c>
      <c r="K93" s="1">
        <v>4004</v>
      </c>
      <c r="L93" s="1">
        <v>109.916</v>
      </c>
      <c r="M93" s="1">
        <v>1.208</v>
      </c>
      <c r="N93" s="1">
        <v>0.22600000000000001</v>
      </c>
      <c r="O93" s="1">
        <v>2.0054999999999999E-3</v>
      </c>
      <c r="P93" s="1">
        <v>0.13800000000000001</v>
      </c>
    </row>
    <row r="94" spans="1:16">
      <c r="A94" s="1" t="s">
        <v>14</v>
      </c>
      <c r="B94" s="1" t="s">
        <v>57</v>
      </c>
      <c r="C94" s="1">
        <v>31</v>
      </c>
      <c r="D94" s="1" t="s">
        <v>58</v>
      </c>
      <c r="E94" s="1"/>
      <c r="F94" s="1"/>
      <c r="G94" s="1"/>
      <c r="H94" s="1">
        <v>6</v>
      </c>
      <c r="I94" s="1">
        <v>5856</v>
      </c>
      <c r="J94" s="1">
        <v>6433</v>
      </c>
      <c r="K94" s="1">
        <v>4006</v>
      </c>
      <c r="L94" s="1">
        <v>110.78700000000001</v>
      </c>
      <c r="M94" s="1">
        <v>1.2170000000000001</v>
      </c>
      <c r="N94" s="1">
        <v>0.22700000000000001</v>
      </c>
      <c r="O94" s="1">
        <v>2.0052E-3</v>
      </c>
      <c r="P94" s="1">
        <v>0</v>
      </c>
    </row>
    <row r="95" spans="1:16">
      <c r="A95" s="1" t="s">
        <v>14</v>
      </c>
      <c r="B95" s="1" t="s">
        <v>59</v>
      </c>
      <c r="C95" s="1">
        <v>32</v>
      </c>
      <c r="D95" s="1" t="s">
        <v>58</v>
      </c>
      <c r="E95" s="1"/>
      <c r="F95" s="1"/>
      <c r="G95" s="1"/>
      <c r="H95" s="1">
        <v>4</v>
      </c>
      <c r="I95" s="1">
        <v>4922</v>
      </c>
      <c r="J95" s="1">
        <v>5490</v>
      </c>
      <c r="K95" s="1">
        <v>3342</v>
      </c>
      <c r="L95" s="1">
        <v>55.228000000000002</v>
      </c>
      <c r="M95" s="1">
        <v>0.621</v>
      </c>
      <c r="N95" s="1">
        <v>0.113</v>
      </c>
      <c r="O95" s="1">
        <v>2.0003999999999998E-3</v>
      </c>
      <c r="P95" s="1">
        <v>-2.3820000000000001</v>
      </c>
    </row>
    <row r="96" spans="1:16">
      <c r="A96" s="1" t="s">
        <v>14</v>
      </c>
      <c r="B96" s="1" t="s">
        <v>59</v>
      </c>
      <c r="C96" s="1">
        <v>32</v>
      </c>
      <c r="D96" s="1" t="s">
        <v>58</v>
      </c>
      <c r="E96" s="1"/>
      <c r="F96" s="1"/>
      <c r="G96" s="1"/>
      <c r="H96" s="1">
        <v>5</v>
      </c>
      <c r="I96" s="1">
        <v>5851</v>
      </c>
      <c r="J96" s="1">
        <v>6428</v>
      </c>
      <c r="K96" s="1">
        <v>4003</v>
      </c>
      <c r="L96" s="1">
        <v>110.485</v>
      </c>
      <c r="M96" s="1">
        <v>1.214</v>
      </c>
      <c r="N96" s="1">
        <v>0.22700000000000001</v>
      </c>
      <c r="O96" s="1">
        <v>2.0054000000000001E-3</v>
      </c>
      <c r="P96" s="1">
        <v>0.10100000000000001</v>
      </c>
    </row>
    <row r="97" spans="1:16">
      <c r="A97" s="1" t="s">
        <v>14</v>
      </c>
      <c r="B97" s="1" t="s">
        <v>59</v>
      </c>
      <c r="C97" s="1">
        <v>32</v>
      </c>
      <c r="D97" s="1" t="s">
        <v>58</v>
      </c>
      <c r="E97" s="1"/>
      <c r="F97" s="1"/>
      <c r="G97" s="1"/>
      <c r="H97" s="1">
        <v>6</v>
      </c>
      <c r="I97" s="1">
        <v>5852</v>
      </c>
      <c r="J97" s="1">
        <v>6429</v>
      </c>
      <c r="K97" s="1">
        <v>4003</v>
      </c>
      <c r="L97" s="1">
        <v>110.913</v>
      </c>
      <c r="M97" s="1">
        <v>1.218</v>
      </c>
      <c r="N97" s="1">
        <v>0.22800000000000001</v>
      </c>
      <c r="O97" s="1">
        <v>2.0052E-3</v>
      </c>
      <c r="P97" s="1">
        <v>0</v>
      </c>
    </row>
    <row r="98" spans="1:16">
      <c r="A98" s="1" t="s">
        <v>14</v>
      </c>
      <c r="B98" s="1" t="s">
        <v>60</v>
      </c>
      <c r="C98" s="1">
        <v>33</v>
      </c>
      <c r="D98" s="1" t="s">
        <v>61</v>
      </c>
      <c r="E98" s="1"/>
      <c r="F98" s="1"/>
      <c r="G98" s="1"/>
      <c r="H98" s="1">
        <v>4</v>
      </c>
      <c r="I98" s="1">
        <v>4942</v>
      </c>
      <c r="J98" s="1">
        <v>5512</v>
      </c>
      <c r="K98" s="1">
        <v>3347</v>
      </c>
      <c r="L98" s="1">
        <v>55.462000000000003</v>
      </c>
      <c r="M98" s="1">
        <v>0.623</v>
      </c>
      <c r="N98" s="1">
        <v>0.113</v>
      </c>
      <c r="O98" s="1">
        <v>1.9956000000000002E-3</v>
      </c>
      <c r="P98" s="1">
        <v>-4.7839999999999998</v>
      </c>
    </row>
    <row r="99" spans="1:16">
      <c r="A99" s="1" t="s">
        <v>14</v>
      </c>
      <c r="B99" s="1" t="s">
        <v>60</v>
      </c>
      <c r="C99" s="1">
        <v>33</v>
      </c>
      <c r="D99" s="1" t="s">
        <v>61</v>
      </c>
      <c r="E99" s="1"/>
      <c r="F99" s="1"/>
      <c r="G99" s="1"/>
      <c r="H99" s="1">
        <v>5</v>
      </c>
      <c r="I99" s="1">
        <v>5863</v>
      </c>
      <c r="J99" s="1">
        <v>6442</v>
      </c>
      <c r="K99" s="1">
        <v>4011</v>
      </c>
      <c r="L99" s="1">
        <v>110.101</v>
      </c>
      <c r="M99" s="1">
        <v>1.21</v>
      </c>
      <c r="N99" s="1">
        <v>0.22600000000000001</v>
      </c>
      <c r="O99" s="1">
        <v>2.0054999999999999E-3</v>
      </c>
      <c r="P99" s="1">
        <v>0.14499999999999999</v>
      </c>
    </row>
    <row r="100" spans="1:16">
      <c r="A100" s="1" t="s">
        <v>14</v>
      </c>
      <c r="B100" s="1" t="s">
        <v>60</v>
      </c>
      <c r="C100" s="1">
        <v>33</v>
      </c>
      <c r="D100" s="1" t="s">
        <v>61</v>
      </c>
      <c r="E100" s="1"/>
      <c r="F100" s="1"/>
      <c r="G100" s="1"/>
      <c r="H100" s="1">
        <v>6</v>
      </c>
      <c r="I100" s="1">
        <v>5871</v>
      </c>
      <c r="J100" s="1">
        <v>6450</v>
      </c>
      <c r="K100" s="1">
        <v>4016</v>
      </c>
      <c r="L100" s="1">
        <v>110.938</v>
      </c>
      <c r="M100" s="1">
        <v>1.2190000000000001</v>
      </c>
      <c r="N100" s="1">
        <v>0.22800000000000001</v>
      </c>
      <c r="O100" s="1">
        <v>2.0052E-3</v>
      </c>
      <c r="P100" s="1">
        <v>0</v>
      </c>
    </row>
    <row r="101" spans="1:16">
      <c r="A101" s="1" t="s">
        <v>14</v>
      </c>
      <c r="B101" s="1" t="s">
        <v>62</v>
      </c>
      <c r="C101" s="1">
        <v>34</v>
      </c>
      <c r="D101" s="1" t="s">
        <v>61</v>
      </c>
      <c r="E101" s="1"/>
      <c r="F101" s="1"/>
      <c r="G101" s="1"/>
      <c r="H101" s="1">
        <v>4</v>
      </c>
      <c r="I101" s="1">
        <v>5028</v>
      </c>
      <c r="J101" s="1">
        <v>5608</v>
      </c>
      <c r="K101" s="1">
        <v>3406</v>
      </c>
      <c r="L101" s="1">
        <v>56.371000000000002</v>
      </c>
      <c r="M101" s="1">
        <v>0.63300000000000001</v>
      </c>
      <c r="N101" s="1">
        <v>0.115</v>
      </c>
      <c r="O101" s="1">
        <v>1.9957E-3</v>
      </c>
      <c r="P101" s="1">
        <v>-4.7610000000000001</v>
      </c>
    </row>
    <row r="102" spans="1:16">
      <c r="A102" s="1" t="s">
        <v>14</v>
      </c>
      <c r="B102" s="1" t="s">
        <v>62</v>
      </c>
      <c r="C102" s="1">
        <v>34</v>
      </c>
      <c r="D102" s="1" t="s">
        <v>61</v>
      </c>
      <c r="E102" s="1"/>
      <c r="F102" s="1"/>
      <c r="G102" s="1"/>
      <c r="H102" s="1">
        <v>5</v>
      </c>
      <c r="I102" s="1">
        <v>5847</v>
      </c>
      <c r="J102" s="1">
        <v>6424</v>
      </c>
      <c r="K102" s="1">
        <v>4001</v>
      </c>
      <c r="L102" s="1">
        <v>110.129</v>
      </c>
      <c r="M102" s="1">
        <v>1.21</v>
      </c>
      <c r="N102" s="1">
        <v>0.22600000000000001</v>
      </c>
      <c r="O102" s="1">
        <v>2.0054999999999999E-3</v>
      </c>
      <c r="P102" s="1">
        <v>0.153</v>
      </c>
    </row>
    <row r="103" spans="1:16">
      <c r="A103" s="1" t="s">
        <v>14</v>
      </c>
      <c r="B103" s="1" t="s">
        <v>62</v>
      </c>
      <c r="C103" s="1">
        <v>34</v>
      </c>
      <c r="D103" s="1" t="s">
        <v>61</v>
      </c>
      <c r="E103" s="1"/>
      <c r="F103" s="1"/>
      <c r="G103" s="1"/>
      <c r="H103" s="1">
        <v>6</v>
      </c>
      <c r="I103" s="1">
        <v>5846</v>
      </c>
      <c r="J103" s="1">
        <v>6422</v>
      </c>
      <c r="K103" s="1">
        <v>3998</v>
      </c>
      <c r="L103" s="1">
        <v>110.67400000000001</v>
      </c>
      <c r="M103" s="1">
        <v>1.216</v>
      </c>
      <c r="N103" s="1">
        <v>0.22700000000000001</v>
      </c>
      <c r="O103" s="1">
        <v>2.0052E-3</v>
      </c>
      <c r="P103" s="1">
        <v>0</v>
      </c>
    </row>
    <row r="104" spans="1:16">
      <c r="A104" s="1" t="s">
        <v>14</v>
      </c>
      <c r="B104" s="1" t="s">
        <v>63</v>
      </c>
      <c r="C104" s="1">
        <v>35</v>
      </c>
      <c r="D104" s="1" t="s">
        <v>20</v>
      </c>
      <c r="E104" s="1"/>
      <c r="F104" s="1"/>
      <c r="G104" s="1"/>
      <c r="H104" s="1">
        <v>4</v>
      </c>
      <c r="I104" s="1">
        <v>5009</v>
      </c>
      <c r="J104" s="1">
        <v>5586</v>
      </c>
      <c r="K104" s="1">
        <v>3392</v>
      </c>
      <c r="L104" s="1">
        <v>56.177</v>
      </c>
      <c r="M104" s="1">
        <v>0.63100000000000001</v>
      </c>
      <c r="N104" s="1">
        <v>0.115</v>
      </c>
      <c r="O104" s="1">
        <v>1.9959999999999999E-3</v>
      </c>
      <c r="P104" s="1">
        <v>-4.5810000000000004</v>
      </c>
    </row>
    <row r="105" spans="1:16">
      <c r="A105" s="1" t="s">
        <v>14</v>
      </c>
      <c r="B105" s="1" t="s">
        <v>63</v>
      </c>
      <c r="C105" s="1">
        <v>35</v>
      </c>
      <c r="D105" s="1" t="s">
        <v>20</v>
      </c>
      <c r="E105" s="1"/>
      <c r="F105" s="1"/>
      <c r="G105" s="1"/>
      <c r="H105" s="1">
        <v>5</v>
      </c>
      <c r="I105" s="1">
        <v>5849</v>
      </c>
      <c r="J105" s="1">
        <v>6425</v>
      </c>
      <c r="K105" s="1">
        <v>4000</v>
      </c>
      <c r="L105" s="1">
        <v>110.104</v>
      </c>
      <c r="M105" s="1">
        <v>1.21</v>
      </c>
      <c r="N105" s="1">
        <v>0.22600000000000001</v>
      </c>
      <c r="O105" s="1">
        <v>2.0054999999999999E-3</v>
      </c>
      <c r="P105" s="1">
        <v>0.159</v>
      </c>
    </row>
    <row r="106" spans="1:16">
      <c r="A106" s="1" t="s">
        <v>14</v>
      </c>
      <c r="B106" s="1" t="s">
        <v>63</v>
      </c>
      <c r="C106" s="1">
        <v>35</v>
      </c>
      <c r="D106" s="1" t="s">
        <v>20</v>
      </c>
      <c r="E106" s="1"/>
      <c r="F106" s="1"/>
      <c r="G106" s="1"/>
      <c r="H106" s="1">
        <v>6</v>
      </c>
      <c r="I106" s="1">
        <v>5854</v>
      </c>
      <c r="J106" s="1">
        <v>6431</v>
      </c>
      <c r="K106" s="1">
        <v>4004</v>
      </c>
      <c r="L106" s="1">
        <v>110.706</v>
      </c>
      <c r="M106" s="1">
        <v>1.216</v>
      </c>
      <c r="N106" s="1">
        <v>0.22700000000000001</v>
      </c>
      <c r="O106" s="1">
        <v>2.0052E-3</v>
      </c>
      <c r="P106" s="1">
        <v>0</v>
      </c>
    </row>
    <row r="107" spans="1:16">
      <c r="A107" s="1" t="s">
        <v>14</v>
      </c>
      <c r="B107" s="1" t="s">
        <v>64</v>
      </c>
      <c r="C107" s="1">
        <v>36</v>
      </c>
      <c r="D107" s="1" t="s">
        <v>20</v>
      </c>
      <c r="E107" s="1"/>
      <c r="F107" s="1"/>
      <c r="G107" s="1"/>
      <c r="H107" s="1">
        <v>4</v>
      </c>
      <c r="I107" s="1">
        <v>5047</v>
      </c>
      <c r="J107" s="1">
        <v>5630</v>
      </c>
      <c r="K107" s="1">
        <v>3418</v>
      </c>
      <c r="L107" s="1">
        <v>56.744999999999997</v>
      </c>
      <c r="M107" s="1">
        <v>0.63800000000000001</v>
      </c>
      <c r="N107" s="1">
        <v>0.11600000000000001</v>
      </c>
      <c r="O107" s="1">
        <v>1.9962999999999999E-3</v>
      </c>
      <c r="P107" s="1">
        <v>-4.4569999999999999</v>
      </c>
    </row>
    <row r="108" spans="1:16">
      <c r="A108" s="1" t="s">
        <v>14</v>
      </c>
      <c r="B108" s="1" t="s">
        <v>64</v>
      </c>
      <c r="C108" s="1">
        <v>36</v>
      </c>
      <c r="D108" s="1" t="s">
        <v>20</v>
      </c>
      <c r="E108" s="1"/>
      <c r="F108" s="1"/>
      <c r="G108" s="1"/>
      <c r="H108" s="1">
        <v>5</v>
      </c>
      <c r="I108" s="1">
        <v>5859</v>
      </c>
      <c r="J108" s="1">
        <v>6437</v>
      </c>
      <c r="K108" s="1">
        <v>4008</v>
      </c>
      <c r="L108" s="1">
        <v>110.226</v>
      </c>
      <c r="M108" s="1">
        <v>1.2110000000000001</v>
      </c>
      <c r="N108" s="1">
        <v>0.22600000000000001</v>
      </c>
      <c r="O108" s="1">
        <v>2.0056000000000002E-3</v>
      </c>
      <c r="P108" s="1">
        <v>0.19600000000000001</v>
      </c>
    </row>
    <row r="109" spans="1:16">
      <c r="A109" s="1" t="s">
        <v>14</v>
      </c>
      <c r="B109" s="1" t="s">
        <v>64</v>
      </c>
      <c r="C109" s="1">
        <v>36</v>
      </c>
      <c r="D109" s="1" t="s">
        <v>20</v>
      </c>
      <c r="E109" s="1"/>
      <c r="F109" s="1"/>
      <c r="G109" s="1"/>
      <c r="H109" s="1">
        <v>6</v>
      </c>
      <c r="I109" s="1">
        <v>5857</v>
      </c>
      <c r="J109" s="1">
        <v>6434</v>
      </c>
      <c r="K109" s="1">
        <v>4007</v>
      </c>
      <c r="L109" s="1">
        <v>110.76300000000001</v>
      </c>
      <c r="M109" s="1">
        <v>1.2170000000000001</v>
      </c>
      <c r="N109" s="1">
        <v>0.22700000000000001</v>
      </c>
      <c r="O109" s="1">
        <v>2.0052E-3</v>
      </c>
      <c r="P109" s="1">
        <v>0</v>
      </c>
    </row>
    <row r="110" spans="1:16">
      <c r="A110" s="1" t="s">
        <v>14</v>
      </c>
      <c r="B110" s="1" t="s">
        <v>65</v>
      </c>
      <c r="C110" s="1">
        <v>37</v>
      </c>
      <c r="D110" s="1" t="s">
        <v>66</v>
      </c>
      <c r="E110" s="1"/>
      <c r="F110" s="1"/>
      <c r="G110" s="1"/>
      <c r="H110" s="1">
        <v>4</v>
      </c>
      <c r="I110" s="1">
        <v>4966</v>
      </c>
      <c r="J110" s="1">
        <v>5539</v>
      </c>
      <c r="K110" s="1">
        <v>3370</v>
      </c>
      <c r="L110" s="1">
        <v>55.426000000000002</v>
      </c>
      <c r="M110" s="1">
        <v>0.623</v>
      </c>
      <c r="N110" s="1">
        <v>0.113</v>
      </c>
      <c r="O110" s="1">
        <v>2.0002000000000002E-3</v>
      </c>
      <c r="P110" s="1">
        <v>-2.4889999999999999</v>
      </c>
    </row>
    <row r="111" spans="1:16">
      <c r="A111" s="1" t="s">
        <v>14</v>
      </c>
      <c r="B111" s="1" t="s">
        <v>65</v>
      </c>
      <c r="C111" s="1">
        <v>37</v>
      </c>
      <c r="D111" s="1" t="s">
        <v>66</v>
      </c>
      <c r="E111" s="1"/>
      <c r="F111" s="1"/>
      <c r="G111" s="1"/>
      <c r="H111" s="1">
        <v>5</v>
      </c>
      <c r="I111" s="1">
        <v>5841</v>
      </c>
      <c r="J111" s="1">
        <v>6417</v>
      </c>
      <c r="K111" s="1">
        <v>3996</v>
      </c>
      <c r="L111" s="1">
        <v>109.849</v>
      </c>
      <c r="M111" s="1">
        <v>1.2070000000000001</v>
      </c>
      <c r="N111" s="1">
        <v>0.22600000000000001</v>
      </c>
      <c r="O111" s="1">
        <v>2.0054999999999999E-3</v>
      </c>
      <c r="P111" s="1">
        <v>0.13700000000000001</v>
      </c>
    </row>
    <row r="112" spans="1:16">
      <c r="A112" s="1" t="s">
        <v>14</v>
      </c>
      <c r="B112" s="1" t="s">
        <v>65</v>
      </c>
      <c r="C112" s="1">
        <v>37</v>
      </c>
      <c r="D112" s="1" t="s">
        <v>66</v>
      </c>
      <c r="E112" s="1"/>
      <c r="F112" s="1"/>
      <c r="G112" s="1"/>
      <c r="H112" s="1">
        <v>6</v>
      </c>
      <c r="I112" s="1">
        <v>5841</v>
      </c>
      <c r="J112" s="1">
        <v>6416</v>
      </c>
      <c r="K112" s="1">
        <v>3996</v>
      </c>
      <c r="L112" s="1">
        <v>110.48099999999999</v>
      </c>
      <c r="M112" s="1">
        <v>1.214</v>
      </c>
      <c r="N112" s="1">
        <v>0.22700000000000001</v>
      </c>
      <c r="O112" s="1">
        <v>2.0052E-3</v>
      </c>
      <c r="P112" s="1">
        <v>0</v>
      </c>
    </row>
    <row r="113" spans="1:16">
      <c r="A113" s="1" t="s">
        <v>14</v>
      </c>
      <c r="B113" s="1" t="s">
        <v>67</v>
      </c>
      <c r="C113" s="1">
        <v>38</v>
      </c>
      <c r="D113" s="1" t="s">
        <v>66</v>
      </c>
      <c r="E113" s="1"/>
      <c r="F113" s="1"/>
      <c r="G113" s="1"/>
      <c r="H113" s="1">
        <v>4</v>
      </c>
      <c r="I113" s="1">
        <v>4991</v>
      </c>
      <c r="J113" s="1">
        <v>5567</v>
      </c>
      <c r="K113" s="1">
        <v>3389</v>
      </c>
      <c r="L113" s="1">
        <v>56.215000000000003</v>
      </c>
      <c r="M113" s="1">
        <v>0.63200000000000001</v>
      </c>
      <c r="N113" s="1">
        <v>0.115</v>
      </c>
      <c r="O113" s="1">
        <v>2.0011E-3</v>
      </c>
      <c r="P113" s="1">
        <v>-2.0510000000000002</v>
      </c>
    </row>
    <row r="114" spans="1:16">
      <c r="A114" s="1" t="s">
        <v>14</v>
      </c>
      <c r="B114" s="1" t="s">
        <v>67</v>
      </c>
      <c r="C114" s="1">
        <v>38</v>
      </c>
      <c r="D114" s="1" t="s">
        <v>66</v>
      </c>
      <c r="E114" s="1"/>
      <c r="F114" s="1"/>
      <c r="G114" s="1"/>
      <c r="H114" s="1">
        <v>5</v>
      </c>
      <c r="I114" s="1">
        <v>5856</v>
      </c>
      <c r="J114" s="1">
        <v>6433</v>
      </c>
      <c r="K114" s="1">
        <v>4006</v>
      </c>
      <c r="L114" s="1">
        <v>110.363</v>
      </c>
      <c r="M114" s="1">
        <v>1.212</v>
      </c>
      <c r="N114" s="1">
        <v>0.22700000000000001</v>
      </c>
      <c r="O114" s="1">
        <v>2.0054999999999999E-3</v>
      </c>
      <c r="P114" s="1">
        <v>0.13900000000000001</v>
      </c>
    </row>
    <row r="115" spans="1:16">
      <c r="A115" s="1" t="s">
        <v>14</v>
      </c>
      <c r="B115" s="1" t="s">
        <v>67</v>
      </c>
      <c r="C115" s="1">
        <v>38</v>
      </c>
      <c r="D115" s="1" t="s">
        <v>66</v>
      </c>
      <c r="E115" s="1"/>
      <c r="F115" s="1"/>
      <c r="G115" s="1"/>
      <c r="H115" s="1">
        <v>6</v>
      </c>
      <c r="I115" s="1">
        <v>5851</v>
      </c>
      <c r="J115" s="1">
        <v>6427</v>
      </c>
      <c r="K115" s="1">
        <v>4002</v>
      </c>
      <c r="L115" s="1">
        <v>110.777</v>
      </c>
      <c r="M115" s="1">
        <v>1.2170000000000001</v>
      </c>
      <c r="N115" s="1">
        <v>0.22700000000000001</v>
      </c>
      <c r="O115" s="1">
        <v>2.0052E-3</v>
      </c>
      <c r="P115" s="1">
        <v>0</v>
      </c>
    </row>
    <row r="116" spans="1:16">
      <c r="A116" s="1" t="s">
        <v>14</v>
      </c>
      <c r="B116" s="1" t="s">
        <v>68</v>
      </c>
      <c r="C116" s="1">
        <v>39</v>
      </c>
      <c r="D116" s="1" t="s">
        <v>69</v>
      </c>
      <c r="E116" s="1"/>
      <c r="F116" s="1"/>
      <c r="G116" s="1"/>
      <c r="H116" s="1">
        <v>4</v>
      </c>
      <c r="I116" s="1">
        <v>4961</v>
      </c>
      <c r="J116" s="1">
        <v>5533</v>
      </c>
      <c r="K116" s="1">
        <v>3362</v>
      </c>
      <c r="L116" s="1">
        <v>55.636000000000003</v>
      </c>
      <c r="M116" s="1">
        <v>0.625</v>
      </c>
      <c r="N116" s="1">
        <v>0.114</v>
      </c>
      <c r="O116" s="1">
        <v>1.9968E-3</v>
      </c>
      <c r="P116" s="1">
        <v>-4.1929999999999996</v>
      </c>
    </row>
    <row r="117" spans="1:16">
      <c r="A117" s="1" t="s">
        <v>14</v>
      </c>
      <c r="B117" s="1" t="s">
        <v>68</v>
      </c>
      <c r="C117" s="1">
        <v>39</v>
      </c>
      <c r="D117" s="1" t="s">
        <v>69</v>
      </c>
      <c r="E117" s="1"/>
      <c r="F117" s="1"/>
      <c r="G117" s="1"/>
      <c r="H117" s="1">
        <v>5</v>
      </c>
      <c r="I117" s="1">
        <v>5835</v>
      </c>
      <c r="J117" s="1">
        <v>6410</v>
      </c>
      <c r="K117" s="1">
        <v>3992</v>
      </c>
      <c r="L117" s="1">
        <v>109.81100000000001</v>
      </c>
      <c r="M117" s="1">
        <v>1.206</v>
      </c>
      <c r="N117" s="1">
        <v>0.22500000000000001</v>
      </c>
      <c r="O117" s="1">
        <v>2.0056000000000002E-3</v>
      </c>
      <c r="P117" s="1">
        <v>0.224</v>
      </c>
    </row>
    <row r="118" spans="1:16">
      <c r="A118" s="1" t="s">
        <v>14</v>
      </c>
      <c r="B118" s="1" t="s">
        <v>68</v>
      </c>
      <c r="C118" s="1">
        <v>39</v>
      </c>
      <c r="D118" s="1" t="s">
        <v>69</v>
      </c>
      <c r="E118" s="1"/>
      <c r="F118" s="1"/>
      <c r="G118" s="1"/>
      <c r="H118" s="1">
        <v>6</v>
      </c>
      <c r="I118" s="1">
        <v>5839</v>
      </c>
      <c r="J118" s="1">
        <v>6415</v>
      </c>
      <c r="K118" s="1">
        <v>3995</v>
      </c>
      <c r="L118" s="1">
        <v>110.252</v>
      </c>
      <c r="M118" s="1">
        <v>1.2110000000000001</v>
      </c>
      <c r="N118" s="1">
        <v>0.22600000000000001</v>
      </c>
      <c r="O118" s="1">
        <v>2.0052E-3</v>
      </c>
      <c r="P118" s="1">
        <v>0</v>
      </c>
    </row>
    <row r="119" spans="1:16">
      <c r="A119" s="1" t="s">
        <v>70</v>
      </c>
      <c r="B119" s="1" t="s">
        <v>71</v>
      </c>
      <c r="C119" s="1">
        <v>40</v>
      </c>
      <c r="D119" s="1" t="s">
        <v>69</v>
      </c>
      <c r="E119" s="1"/>
      <c r="F119" s="1"/>
      <c r="G119" s="1"/>
      <c r="H119" s="1">
        <v>4</v>
      </c>
      <c r="I119" s="1">
        <v>5005</v>
      </c>
      <c r="J119" s="1">
        <v>5583</v>
      </c>
      <c r="K119" s="1">
        <v>3392</v>
      </c>
      <c r="L119" s="1">
        <v>56.499000000000002</v>
      </c>
      <c r="M119" s="1">
        <v>0.63500000000000001</v>
      </c>
      <c r="N119" s="1">
        <v>0.115</v>
      </c>
      <c r="O119" s="1">
        <v>1.9967000000000001E-3</v>
      </c>
      <c r="P119" s="1">
        <v>-4.2229999999999999</v>
      </c>
    </row>
    <row r="120" spans="1:16">
      <c r="A120" s="1" t="s">
        <v>70</v>
      </c>
      <c r="B120" s="1" t="s">
        <v>71</v>
      </c>
      <c r="C120" s="1">
        <v>40</v>
      </c>
      <c r="D120" s="1" t="s">
        <v>69</v>
      </c>
      <c r="E120" s="1"/>
      <c r="F120" s="1"/>
      <c r="G120" s="1"/>
      <c r="H120" s="1">
        <v>5</v>
      </c>
      <c r="I120" s="1">
        <v>5842</v>
      </c>
      <c r="J120" s="1">
        <v>6418</v>
      </c>
      <c r="K120" s="1">
        <v>3997</v>
      </c>
      <c r="L120" s="1">
        <v>110.08</v>
      </c>
      <c r="M120" s="1">
        <v>1.2090000000000001</v>
      </c>
      <c r="N120" s="1">
        <v>0.22600000000000001</v>
      </c>
      <c r="O120" s="1">
        <v>2.0054000000000001E-3</v>
      </c>
      <c r="P120" s="1">
        <v>0.10199999999999999</v>
      </c>
    </row>
    <row r="121" spans="1:16">
      <c r="A121" s="1" t="s">
        <v>70</v>
      </c>
      <c r="B121" s="1" t="s">
        <v>71</v>
      </c>
      <c r="C121" s="1">
        <v>40</v>
      </c>
      <c r="D121" s="1" t="s">
        <v>69</v>
      </c>
      <c r="E121" s="1"/>
      <c r="F121" s="1"/>
      <c r="G121" s="1"/>
      <c r="H121" s="1">
        <v>6</v>
      </c>
      <c r="I121" s="1">
        <v>5840</v>
      </c>
      <c r="J121" s="1">
        <v>6415</v>
      </c>
      <c r="K121" s="1">
        <v>3995</v>
      </c>
      <c r="L121" s="1">
        <v>110.895</v>
      </c>
      <c r="M121" s="1">
        <v>1.218</v>
      </c>
      <c r="N121" s="1">
        <v>0.22800000000000001</v>
      </c>
      <c r="O121" s="1">
        <v>2.0052E-3</v>
      </c>
      <c r="P121" s="1">
        <v>0</v>
      </c>
    </row>
    <row r="122" spans="1:16">
      <c r="A122" s="1" t="s">
        <v>70</v>
      </c>
      <c r="B122" s="1" t="s">
        <v>72</v>
      </c>
      <c r="C122" s="1">
        <v>41</v>
      </c>
      <c r="D122" s="1" t="s">
        <v>73</v>
      </c>
      <c r="E122" s="1"/>
      <c r="F122" s="1"/>
      <c r="G122" s="1"/>
      <c r="H122" s="1">
        <v>4</v>
      </c>
      <c r="I122" s="1">
        <v>5029</v>
      </c>
      <c r="J122" s="1">
        <v>5609</v>
      </c>
      <c r="K122" s="1">
        <v>3416</v>
      </c>
      <c r="L122" s="1">
        <v>56.494</v>
      </c>
      <c r="M122" s="1">
        <v>0.63500000000000001</v>
      </c>
      <c r="N122" s="1">
        <v>0.11600000000000001</v>
      </c>
      <c r="O122" s="1">
        <v>2.0010000000000002E-3</v>
      </c>
      <c r="P122" s="1">
        <v>-2.1030000000000002</v>
      </c>
    </row>
    <row r="123" spans="1:16">
      <c r="A123" s="1" t="s">
        <v>70</v>
      </c>
      <c r="B123" s="1" t="s">
        <v>72</v>
      </c>
      <c r="C123" s="1">
        <v>41</v>
      </c>
      <c r="D123" s="1" t="s">
        <v>73</v>
      </c>
      <c r="E123" s="1"/>
      <c r="F123" s="1"/>
      <c r="G123" s="1"/>
      <c r="H123" s="1">
        <v>5</v>
      </c>
      <c r="I123" s="1">
        <v>5839</v>
      </c>
      <c r="J123" s="1">
        <v>6415</v>
      </c>
      <c r="K123" s="1">
        <v>3994</v>
      </c>
      <c r="L123" s="1">
        <v>109.88500000000001</v>
      </c>
      <c r="M123" s="1">
        <v>1.2070000000000001</v>
      </c>
      <c r="N123" s="1">
        <v>0.22600000000000001</v>
      </c>
      <c r="O123" s="1">
        <v>2.0054999999999999E-3</v>
      </c>
      <c r="P123" s="1">
        <v>0.13800000000000001</v>
      </c>
    </row>
    <row r="124" spans="1:16">
      <c r="A124" s="1" t="s">
        <v>70</v>
      </c>
      <c r="B124" s="1" t="s">
        <v>72</v>
      </c>
      <c r="C124" s="1">
        <v>41</v>
      </c>
      <c r="D124" s="1" t="s">
        <v>73</v>
      </c>
      <c r="E124" s="1"/>
      <c r="F124" s="1"/>
      <c r="G124" s="1"/>
      <c r="H124" s="1">
        <v>6</v>
      </c>
      <c r="I124" s="1">
        <v>5842</v>
      </c>
      <c r="J124" s="1">
        <v>6418</v>
      </c>
      <c r="K124" s="1">
        <v>3995</v>
      </c>
      <c r="L124" s="1">
        <v>110.422</v>
      </c>
      <c r="M124" s="1">
        <v>1.2130000000000001</v>
      </c>
      <c r="N124" s="1">
        <v>0.22700000000000001</v>
      </c>
      <c r="O124" s="1">
        <v>2.0052E-3</v>
      </c>
      <c r="P124" s="1">
        <v>0</v>
      </c>
    </row>
    <row r="125" spans="1:16">
      <c r="A125" s="1" t="s">
        <v>70</v>
      </c>
      <c r="B125" s="1" t="s">
        <v>74</v>
      </c>
      <c r="C125" s="1">
        <v>42</v>
      </c>
      <c r="D125" s="1" t="s">
        <v>73</v>
      </c>
      <c r="E125" s="1"/>
      <c r="F125" s="1"/>
      <c r="G125" s="1"/>
      <c r="H125" s="1">
        <v>4</v>
      </c>
      <c r="I125" s="1">
        <v>5089</v>
      </c>
      <c r="J125" s="1">
        <v>5677</v>
      </c>
      <c r="K125" s="1">
        <v>3456</v>
      </c>
      <c r="L125" s="1">
        <v>56.935000000000002</v>
      </c>
      <c r="M125" s="1">
        <v>0.64</v>
      </c>
      <c r="N125" s="1">
        <v>0.11700000000000001</v>
      </c>
      <c r="O125" s="1">
        <v>2.0008000000000001E-3</v>
      </c>
      <c r="P125" s="1">
        <v>-2.2130000000000001</v>
      </c>
    </row>
    <row r="126" spans="1:16">
      <c r="A126" s="1" t="s">
        <v>70</v>
      </c>
      <c r="B126" s="1" t="s">
        <v>74</v>
      </c>
      <c r="C126" s="1">
        <v>42</v>
      </c>
      <c r="D126" s="1" t="s">
        <v>73</v>
      </c>
      <c r="E126" s="1"/>
      <c r="F126" s="1"/>
      <c r="G126" s="1"/>
      <c r="H126" s="1">
        <v>5</v>
      </c>
      <c r="I126" s="1">
        <v>5847</v>
      </c>
      <c r="J126" s="1">
        <v>6424</v>
      </c>
      <c r="K126" s="1">
        <v>4000</v>
      </c>
      <c r="L126" s="1">
        <v>110.051</v>
      </c>
      <c r="M126" s="1">
        <v>1.2090000000000001</v>
      </c>
      <c r="N126" s="1">
        <v>0.22600000000000001</v>
      </c>
      <c r="O126" s="1">
        <v>2.0054000000000001E-3</v>
      </c>
      <c r="P126" s="1">
        <v>7.8E-2</v>
      </c>
    </row>
    <row r="127" spans="1:16">
      <c r="A127" s="1" t="s">
        <v>70</v>
      </c>
      <c r="B127" s="1" t="s">
        <v>74</v>
      </c>
      <c r="C127" s="1">
        <v>42</v>
      </c>
      <c r="D127" s="1" t="s">
        <v>73</v>
      </c>
      <c r="E127" s="1"/>
      <c r="F127" s="1"/>
      <c r="G127" s="1"/>
      <c r="H127" s="1">
        <v>6</v>
      </c>
      <c r="I127" s="1">
        <v>5841</v>
      </c>
      <c r="J127" s="1">
        <v>6416</v>
      </c>
      <c r="K127" s="1">
        <v>3996</v>
      </c>
      <c r="L127" s="1">
        <v>110.535</v>
      </c>
      <c r="M127" s="1">
        <v>1.214</v>
      </c>
      <c r="N127" s="1">
        <v>0.22700000000000001</v>
      </c>
      <c r="O127" s="1">
        <v>2.0052E-3</v>
      </c>
      <c r="P127" s="1">
        <v>0</v>
      </c>
    </row>
    <row r="128" spans="1:16">
      <c r="A128" s="1" t="s">
        <v>70</v>
      </c>
      <c r="B128" s="1" t="s">
        <v>75</v>
      </c>
      <c r="C128" s="1">
        <v>43</v>
      </c>
      <c r="D128" s="1" t="s">
        <v>76</v>
      </c>
      <c r="E128" s="1"/>
      <c r="F128" s="1"/>
      <c r="G128" s="1"/>
      <c r="H128" s="1">
        <v>4</v>
      </c>
      <c r="I128" s="1">
        <v>5122</v>
      </c>
      <c r="J128" s="1">
        <v>5713</v>
      </c>
      <c r="K128" s="1">
        <v>3470</v>
      </c>
      <c r="L128" s="1">
        <v>57.917999999999999</v>
      </c>
      <c r="M128" s="1">
        <v>0.65100000000000002</v>
      </c>
      <c r="N128" s="1">
        <v>0.11799999999999999</v>
      </c>
      <c r="O128" s="1">
        <v>1.9968E-3</v>
      </c>
      <c r="P128" s="1">
        <v>-4.165</v>
      </c>
    </row>
    <row r="129" spans="1:16">
      <c r="A129" s="1" t="s">
        <v>70</v>
      </c>
      <c r="B129" s="1" t="s">
        <v>75</v>
      </c>
      <c r="C129" s="1">
        <v>43</v>
      </c>
      <c r="D129" s="1" t="s">
        <v>76</v>
      </c>
      <c r="E129" s="1"/>
      <c r="F129" s="1"/>
      <c r="G129" s="1"/>
      <c r="H129" s="1">
        <v>5</v>
      </c>
      <c r="I129" s="1">
        <v>5862</v>
      </c>
      <c r="J129" s="1">
        <v>6440</v>
      </c>
      <c r="K129" s="1">
        <v>4011</v>
      </c>
      <c r="L129" s="1">
        <v>109.983</v>
      </c>
      <c r="M129" s="1">
        <v>1.208</v>
      </c>
      <c r="N129" s="1">
        <v>0.22600000000000001</v>
      </c>
      <c r="O129" s="1">
        <v>2.0054999999999999E-3</v>
      </c>
      <c r="P129" s="1">
        <v>0.17</v>
      </c>
    </row>
    <row r="130" spans="1:16">
      <c r="A130" s="1" t="s">
        <v>70</v>
      </c>
      <c r="B130" s="1" t="s">
        <v>75</v>
      </c>
      <c r="C130" s="1">
        <v>43</v>
      </c>
      <c r="D130" s="1" t="s">
        <v>76</v>
      </c>
      <c r="E130" s="1"/>
      <c r="F130" s="1"/>
      <c r="G130" s="1"/>
      <c r="H130" s="1">
        <v>6</v>
      </c>
      <c r="I130" s="1">
        <v>5854</v>
      </c>
      <c r="J130" s="1">
        <v>6430</v>
      </c>
      <c r="K130" s="1">
        <v>4004</v>
      </c>
      <c r="L130" s="1">
        <v>110.80500000000001</v>
      </c>
      <c r="M130" s="1">
        <v>1.2170000000000001</v>
      </c>
      <c r="N130" s="1">
        <v>0.22700000000000001</v>
      </c>
      <c r="O130" s="1">
        <v>2.0052E-3</v>
      </c>
      <c r="P130" s="1">
        <v>0</v>
      </c>
    </row>
    <row r="131" spans="1:16">
      <c r="A131" s="1" t="s">
        <v>70</v>
      </c>
      <c r="B131" s="1" t="s">
        <v>77</v>
      </c>
      <c r="C131" s="1">
        <v>44</v>
      </c>
      <c r="D131" s="1" t="s">
        <v>76</v>
      </c>
      <c r="E131" s="1"/>
      <c r="F131" s="1"/>
      <c r="G131" s="1"/>
      <c r="H131" s="1">
        <v>4</v>
      </c>
      <c r="I131" s="1">
        <v>5062</v>
      </c>
      <c r="J131" s="1">
        <v>5646</v>
      </c>
      <c r="K131" s="1">
        <v>3430</v>
      </c>
      <c r="L131" s="1">
        <v>57.021999999999998</v>
      </c>
      <c r="M131" s="1">
        <v>0.64100000000000001</v>
      </c>
      <c r="N131" s="1">
        <v>0.11700000000000001</v>
      </c>
      <c r="O131" s="1">
        <v>1.9965999999999999E-3</v>
      </c>
      <c r="P131" s="1">
        <v>-4.298</v>
      </c>
    </row>
    <row r="132" spans="1:16">
      <c r="A132" s="1" t="s">
        <v>70</v>
      </c>
      <c r="B132" s="1" t="s">
        <v>77</v>
      </c>
      <c r="C132" s="1">
        <v>44</v>
      </c>
      <c r="D132" s="1" t="s">
        <v>76</v>
      </c>
      <c r="E132" s="1"/>
      <c r="F132" s="1"/>
      <c r="G132" s="1"/>
      <c r="H132" s="1">
        <v>5</v>
      </c>
      <c r="I132" s="1">
        <v>5871</v>
      </c>
      <c r="J132" s="1">
        <v>6450</v>
      </c>
      <c r="K132" s="1">
        <v>4016</v>
      </c>
      <c r="L132" s="1">
        <v>110.122</v>
      </c>
      <c r="M132" s="1">
        <v>1.21</v>
      </c>
      <c r="N132" s="1">
        <v>0.22600000000000001</v>
      </c>
      <c r="O132" s="1">
        <v>2.0054999999999999E-3</v>
      </c>
      <c r="P132" s="1">
        <v>0.15</v>
      </c>
    </row>
    <row r="133" spans="1:16">
      <c r="A133" s="1" t="s">
        <v>70</v>
      </c>
      <c r="B133" s="1" t="s">
        <v>77</v>
      </c>
      <c r="C133" s="1">
        <v>44</v>
      </c>
      <c r="D133" s="1" t="s">
        <v>76</v>
      </c>
      <c r="E133" s="1"/>
      <c r="F133" s="1"/>
      <c r="G133" s="1"/>
      <c r="H133" s="1">
        <v>6</v>
      </c>
      <c r="I133" s="1">
        <v>5859</v>
      </c>
      <c r="J133" s="1">
        <v>6437</v>
      </c>
      <c r="K133" s="1">
        <v>4008</v>
      </c>
      <c r="L133" s="1">
        <v>110.8</v>
      </c>
      <c r="M133" s="1">
        <v>1.2170000000000001</v>
      </c>
      <c r="N133" s="1">
        <v>0.22700000000000001</v>
      </c>
      <c r="O133" s="1">
        <v>2.0052E-3</v>
      </c>
      <c r="P133" s="1">
        <v>0</v>
      </c>
    </row>
    <row r="134" spans="1:16">
      <c r="A134" s="1" t="s">
        <v>70</v>
      </c>
      <c r="B134" s="1" t="s">
        <v>78</v>
      </c>
      <c r="C134" s="1">
        <v>45</v>
      </c>
      <c r="D134" s="1" t="s">
        <v>79</v>
      </c>
      <c r="E134" s="1"/>
      <c r="F134" s="1"/>
      <c r="G134" s="1"/>
      <c r="H134" s="1">
        <v>4</v>
      </c>
      <c r="I134" s="1">
        <v>4914</v>
      </c>
      <c r="J134" s="1">
        <v>5481</v>
      </c>
      <c r="K134" s="1">
        <v>3334</v>
      </c>
      <c r="L134" s="1">
        <v>55.064</v>
      </c>
      <c r="M134" s="1">
        <v>0.61899999999999999</v>
      </c>
      <c r="N134" s="1">
        <v>0.113</v>
      </c>
      <c r="O134" s="1">
        <v>1.9995999999999998E-3</v>
      </c>
      <c r="P134" s="1">
        <v>-2.8029999999999999</v>
      </c>
    </row>
    <row r="135" spans="1:16">
      <c r="A135" s="1" t="s">
        <v>70</v>
      </c>
      <c r="B135" s="1" t="s">
        <v>78</v>
      </c>
      <c r="C135" s="1">
        <v>45</v>
      </c>
      <c r="D135" s="1" t="s">
        <v>79</v>
      </c>
      <c r="E135" s="1"/>
      <c r="F135" s="1"/>
      <c r="G135" s="1"/>
      <c r="H135" s="1">
        <v>5</v>
      </c>
      <c r="I135" s="1">
        <v>5839</v>
      </c>
      <c r="J135" s="1">
        <v>6415</v>
      </c>
      <c r="K135" s="1">
        <v>3996</v>
      </c>
      <c r="L135" s="1">
        <v>110.42700000000001</v>
      </c>
      <c r="M135" s="1">
        <v>1.2130000000000001</v>
      </c>
      <c r="N135" s="1">
        <v>0.22700000000000001</v>
      </c>
      <c r="O135" s="1">
        <v>2.0054000000000001E-3</v>
      </c>
      <c r="P135" s="1">
        <v>0.105</v>
      </c>
    </row>
    <row r="136" spans="1:16">
      <c r="A136" s="1" t="s">
        <v>70</v>
      </c>
      <c r="B136" s="1" t="s">
        <v>78</v>
      </c>
      <c r="C136" s="1">
        <v>45</v>
      </c>
      <c r="D136" s="1" t="s">
        <v>79</v>
      </c>
      <c r="E136" s="1"/>
      <c r="F136" s="1"/>
      <c r="G136" s="1"/>
      <c r="H136" s="1">
        <v>6</v>
      </c>
      <c r="I136" s="1">
        <v>5843</v>
      </c>
      <c r="J136" s="1">
        <v>6420</v>
      </c>
      <c r="K136" s="1">
        <v>3998</v>
      </c>
      <c r="L136" s="1">
        <v>110.443</v>
      </c>
      <c r="M136" s="1">
        <v>1.2130000000000001</v>
      </c>
      <c r="N136" s="1">
        <v>0.22700000000000001</v>
      </c>
      <c r="O136" s="1">
        <v>2.0052E-3</v>
      </c>
      <c r="P136" s="1">
        <v>0</v>
      </c>
    </row>
    <row r="137" spans="1:16">
      <c r="A137" s="1" t="s">
        <v>70</v>
      </c>
      <c r="B137" s="1" t="s">
        <v>80</v>
      </c>
      <c r="C137" s="1">
        <v>46</v>
      </c>
      <c r="D137" s="1" t="s">
        <v>79</v>
      </c>
      <c r="E137" s="1"/>
      <c r="F137" s="1"/>
      <c r="G137" s="1"/>
      <c r="H137" s="1">
        <v>4</v>
      </c>
      <c r="I137" s="1">
        <v>5045</v>
      </c>
      <c r="J137" s="1">
        <v>5628</v>
      </c>
      <c r="K137" s="1">
        <v>3424</v>
      </c>
      <c r="L137" s="1">
        <v>56.956000000000003</v>
      </c>
      <c r="M137" s="1">
        <v>0.64</v>
      </c>
      <c r="N137" s="1">
        <v>0.11700000000000001</v>
      </c>
      <c r="O137" s="1">
        <v>2.0003999999999998E-3</v>
      </c>
      <c r="P137" s="1">
        <v>-2.41</v>
      </c>
    </row>
    <row r="138" spans="1:16">
      <c r="A138" s="1" t="s">
        <v>70</v>
      </c>
      <c r="B138" s="1" t="s">
        <v>80</v>
      </c>
      <c r="C138" s="1">
        <v>46</v>
      </c>
      <c r="D138" s="1" t="s">
        <v>79</v>
      </c>
      <c r="E138" s="1"/>
      <c r="F138" s="1"/>
      <c r="G138" s="1"/>
      <c r="H138" s="1">
        <v>5</v>
      </c>
      <c r="I138" s="1">
        <v>5848</v>
      </c>
      <c r="J138" s="1">
        <v>6425</v>
      </c>
      <c r="K138" s="1">
        <v>4001</v>
      </c>
      <c r="L138" s="1">
        <v>110.21</v>
      </c>
      <c r="M138" s="1">
        <v>1.2110000000000001</v>
      </c>
      <c r="N138" s="1">
        <v>0.22600000000000001</v>
      </c>
      <c r="O138" s="1">
        <v>2.0056000000000002E-3</v>
      </c>
      <c r="P138" s="1">
        <v>0.20300000000000001</v>
      </c>
    </row>
    <row r="139" spans="1:16">
      <c r="A139" s="1" t="s">
        <v>70</v>
      </c>
      <c r="B139" s="1" t="s">
        <v>80</v>
      </c>
      <c r="C139" s="1">
        <v>46</v>
      </c>
      <c r="D139" s="1" t="s">
        <v>79</v>
      </c>
      <c r="E139" s="1"/>
      <c r="F139" s="1"/>
      <c r="G139" s="1"/>
      <c r="H139" s="1">
        <v>6</v>
      </c>
      <c r="I139" s="1">
        <v>5855</v>
      </c>
      <c r="J139" s="1">
        <v>6432</v>
      </c>
      <c r="K139" s="1">
        <v>4005</v>
      </c>
      <c r="L139" s="1">
        <v>110.69</v>
      </c>
      <c r="M139" s="1">
        <v>1.216</v>
      </c>
      <c r="N139" s="1">
        <v>0.22700000000000001</v>
      </c>
      <c r="O139" s="1">
        <v>2.0052E-3</v>
      </c>
      <c r="P139" s="1">
        <v>0</v>
      </c>
    </row>
    <row r="140" spans="1:16">
      <c r="A140" s="1" t="s">
        <v>70</v>
      </c>
      <c r="B140" s="1" t="s">
        <v>81</v>
      </c>
      <c r="C140" s="1">
        <v>47</v>
      </c>
      <c r="D140" s="1" t="s">
        <v>20</v>
      </c>
      <c r="E140" s="1"/>
      <c r="F140" s="1"/>
      <c r="G140" s="1"/>
      <c r="H140" s="1">
        <v>4</v>
      </c>
      <c r="I140" s="1">
        <v>5022</v>
      </c>
      <c r="J140" s="1">
        <v>5603</v>
      </c>
      <c r="K140" s="1">
        <v>3402</v>
      </c>
      <c r="L140" s="1">
        <v>56.533999999999999</v>
      </c>
      <c r="M140" s="1">
        <v>0.63500000000000001</v>
      </c>
      <c r="N140" s="1">
        <v>0.11600000000000001</v>
      </c>
      <c r="O140" s="1">
        <v>1.9964000000000002E-3</v>
      </c>
      <c r="P140" s="1">
        <v>-4.4059999999999997</v>
      </c>
    </row>
    <row r="141" spans="1:16">
      <c r="A141" s="1" t="s">
        <v>70</v>
      </c>
      <c r="B141" s="1" t="s">
        <v>81</v>
      </c>
      <c r="C141" s="1">
        <v>47</v>
      </c>
      <c r="D141" s="1" t="s">
        <v>20</v>
      </c>
      <c r="E141" s="1"/>
      <c r="F141" s="1"/>
      <c r="G141" s="1"/>
      <c r="H141" s="1">
        <v>5</v>
      </c>
      <c r="I141" s="1">
        <v>5836</v>
      </c>
      <c r="J141" s="1">
        <v>6410</v>
      </c>
      <c r="K141" s="1">
        <v>3993</v>
      </c>
      <c r="L141" s="1">
        <v>109.91</v>
      </c>
      <c r="M141" s="1">
        <v>1.2070000000000001</v>
      </c>
      <c r="N141" s="1">
        <v>0.22600000000000001</v>
      </c>
      <c r="O141" s="1">
        <v>2.0054999999999999E-3</v>
      </c>
      <c r="P141" s="1">
        <v>0.16700000000000001</v>
      </c>
    </row>
    <row r="142" spans="1:16">
      <c r="A142" s="1" t="s">
        <v>70</v>
      </c>
      <c r="B142" s="1" t="s">
        <v>81</v>
      </c>
      <c r="C142" s="1">
        <v>47</v>
      </c>
      <c r="D142" s="1" t="s">
        <v>20</v>
      </c>
      <c r="E142" s="1"/>
      <c r="F142" s="1"/>
      <c r="G142" s="1"/>
      <c r="H142" s="1">
        <v>6</v>
      </c>
      <c r="I142" s="1">
        <v>5842</v>
      </c>
      <c r="J142" s="1">
        <v>6418</v>
      </c>
      <c r="K142" s="1">
        <v>3995</v>
      </c>
      <c r="L142" s="1">
        <v>110.533</v>
      </c>
      <c r="M142" s="1">
        <v>1.214</v>
      </c>
      <c r="N142" s="1">
        <v>0.22700000000000001</v>
      </c>
      <c r="O142" s="1">
        <v>2.0052E-3</v>
      </c>
      <c r="P142" s="1">
        <v>0</v>
      </c>
    </row>
    <row r="143" spans="1:16">
      <c r="A143" s="1" t="s">
        <v>70</v>
      </c>
      <c r="B143" s="1" t="s">
        <v>82</v>
      </c>
      <c r="C143" s="1">
        <v>48</v>
      </c>
      <c r="D143" s="1" t="s">
        <v>20</v>
      </c>
      <c r="E143" s="1"/>
      <c r="F143" s="1"/>
      <c r="G143" s="1"/>
      <c r="H143" s="1">
        <v>4</v>
      </c>
      <c r="I143" s="1">
        <v>5018</v>
      </c>
      <c r="J143" s="1">
        <v>5598</v>
      </c>
      <c r="K143" s="1">
        <v>3398</v>
      </c>
      <c r="L143" s="1">
        <v>56.94</v>
      </c>
      <c r="M143" s="1">
        <v>0.64</v>
      </c>
      <c r="N143" s="1">
        <v>0.11600000000000001</v>
      </c>
      <c r="O143" s="1">
        <v>1.9959999999999999E-3</v>
      </c>
      <c r="P143" s="1">
        <v>-4.5940000000000003</v>
      </c>
    </row>
    <row r="144" spans="1:16">
      <c r="A144" s="1" t="s">
        <v>70</v>
      </c>
      <c r="B144" s="1" t="s">
        <v>82</v>
      </c>
      <c r="C144" s="1">
        <v>48</v>
      </c>
      <c r="D144" s="1" t="s">
        <v>20</v>
      </c>
      <c r="E144" s="1"/>
      <c r="F144" s="1"/>
      <c r="G144" s="1"/>
      <c r="H144" s="1">
        <v>5</v>
      </c>
      <c r="I144" s="1">
        <v>5834</v>
      </c>
      <c r="J144" s="1">
        <v>6409</v>
      </c>
      <c r="K144" s="1">
        <v>3991</v>
      </c>
      <c r="L144" s="1">
        <v>110.04</v>
      </c>
      <c r="M144" s="1">
        <v>1.2090000000000001</v>
      </c>
      <c r="N144" s="1">
        <v>0.22600000000000001</v>
      </c>
      <c r="O144" s="1">
        <v>2.0052999999999998E-3</v>
      </c>
      <c r="P144" s="1">
        <v>3.5999999999999997E-2</v>
      </c>
    </row>
    <row r="145" spans="1:16">
      <c r="A145" s="1" t="s">
        <v>70</v>
      </c>
      <c r="B145" s="1" t="s">
        <v>82</v>
      </c>
      <c r="C145" s="1">
        <v>48</v>
      </c>
      <c r="D145" s="1" t="s">
        <v>20</v>
      </c>
      <c r="E145" s="1"/>
      <c r="F145" s="1"/>
      <c r="G145" s="1"/>
      <c r="H145" s="1">
        <v>6</v>
      </c>
      <c r="I145" s="1">
        <v>5835</v>
      </c>
      <c r="J145" s="1">
        <v>6410</v>
      </c>
      <c r="K145" s="1">
        <v>3992</v>
      </c>
      <c r="L145" s="1">
        <v>110.318</v>
      </c>
      <c r="M145" s="1">
        <v>1.212</v>
      </c>
      <c r="N145" s="1">
        <v>0.22600000000000001</v>
      </c>
      <c r="O145" s="1">
        <v>2.0052E-3</v>
      </c>
      <c r="P145" s="1">
        <v>0</v>
      </c>
    </row>
    <row r="146" spans="1:16">
      <c r="A146" s="1" t="s">
        <v>70</v>
      </c>
      <c r="B146" s="1" t="s">
        <v>83</v>
      </c>
      <c r="C146" s="1">
        <v>49</v>
      </c>
      <c r="D146" s="1" t="s">
        <v>84</v>
      </c>
      <c r="E146" s="1"/>
      <c r="F146" s="1"/>
      <c r="G146" s="1"/>
      <c r="H146" s="1">
        <v>4</v>
      </c>
      <c r="I146" s="1">
        <v>5033</v>
      </c>
      <c r="J146" s="1">
        <v>5613</v>
      </c>
      <c r="K146" s="1">
        <v>3375</v>
      </c>
      <c r="L146" s="1">
        <v>56.546999999999997</v>
      </c>
      <c r="M146" s="1">
        <v>0.63500000000000001</v>
      </c>
      <c r="N146" s="1">
        <v>0.114</v>
      </c>
      <c r="O146" s="1">
        <v>1.9762999999999998E-3</v>
      </c>
      <c r="P146" s="1">
        <v>-14.414</v>
      </c>
    </row>
    <row r="147" spans="1:16">
      <c r="A147" s="1" t="s">
        <v>70</v>
      </c>
      <c r="B147" s="1" t="s">
        <v>83</v>
      </c>
      <c r="C147" s="1">
        <v>49</v>
      </c>
      <c r="D147" s="1" t="s">
        <v>84</v>
      </c>
      <c r="E147" s="1"/>
      <c r="F147" s="1"/>
      <c r="G147" s="1"/>
      <c r="H147" s="1">
        <v>5</v>
      </c>
      <c r="I147" s="1">
        <v>5845</v>
      </c>
      <c r="J147" s="1">
        <v>6421</v>
      </c>
      <c r="K147" s="1">
        <v>3999</v>
      </c>
      <c r="L147" s="1">
        <v>110.592</v>
      </c>
      <c r="M147" s="1">
        <v>1.2150000000000001</v>
      </c>
      <c r="N147" s="1">
        <v>0.22700000000000001</v>
      </c>
      <c r="O147" s="1">
        <v>2.0054000000000001E-3</v>
      </c>
      <c r="P147" s="1">
        <v>0.121</v>
      </c>
    </row>
    <row r="148" spans="1:16">
      <c r="A148" s="1" t="s">
        <v>70</v>
      </c>
      <c r="B148" s="1" t="s">
        <v>83</v>
      </c>
      <c r="C148" s="1">
        <v>49</v>
      </c>
      <c r="D148" s="1" t="s">
        <v>84</v>
      </c>
      <c r="E148" s="1"/>
      <c r="F148" s="1"/>
      <c r="G148" s="1"/>
      <c r="H148" s="1">
        <v>6</v>
      </c>
      <c r="I148" s="1">
        <v>5853</v>
      </c>
      <c r="J148" s="1">
        <v>6430</v>
      </c>
      <c r="K148" s="1">
        <v>4004</v>
      </c>
      <c r="L148" s="1">
        <v>110.752</v>
      </c>
      <c r="M148" s="1">
        <v>1.2170000000000001</v>
      </c>
      <c r="N148" s="1">
        <v>0.22700000000000001</v>
      </c>
      <c r="O148" s="1">
        <v>2.0052E-3</v>
      </c>
      <c r="P148" s="1">
        <v>0</v>
      </c>
    </row>
    <row r="149" spans="1:16">
      <c r="A149" s="1" t="s">
        <v>70</v>
      </c>
      <c r="B149" s="1" t="s">
        <v>85</v>
      </c>
      <c r="C149" s="1">
        <v>50</v>
      </c>
      <c r="D149" s="1" t="s">
        <v>84</v>
      </c>
      <c r="E149" s="1"/>
      <c r="F149" s="1"/>
      <c r="G149" s="1"/>
      <c r="H149" s="1">
        <v>4</v>
      </c>
      <c r="I149" s="1">
        <v>4950</v>
      </c>
      <c r="J149" s="1">
        <v>5520</v>
      </c>
      <c r="K149" s="1">
        <v>3320</v>
      </c>
      <c r="L149" s="1">
        <v>55.668999999999997</v>
      </c>
      <c r="M149" s="1">
        <v>0.626</v>
      </c>
      <c r="N149" s="1">
        <v>0.113</v>
      </c>
      <c r="O149" s="1">
        <v>1.9765E-3</v>
      </c>
      <c r="P149" s="1">
        <v>-14.33</v>
      </c>
    </row>
    <row r="150" spans="1:16">
      <c r="A150" s="1" t="s">
        <v>70</v>
      </c>
      <c r="B150" s="1" t="s">
        <v>85</v>
      </c>
      <c r="C150" s="1">
        <v>50</v>
      </c>
      <c r="D150" s="1" t="s">
        <v>84</v>
      </c>
      <c r="E150" s="1"/>
      <c r="F150" s="1"/>
      <c r="G150" s="1"/>
      <c r="H150" s="1">
        <v>5</v>
      </c>
      <c r="I150" s="1">
        <v>5834</v>
      </c>
      <c r="J150" s="1">
        <v>6409</v>
      </c>
      <c r="K150" s="1">
        <v>3991</v>
      </c>
      <c r="L150" s="1">
        <v>109.92700000000001</v>
      </c>
      <c r="M150" s="1">
        <v>1.208</v>
      </c>
      <c r="N150" s="1">
        <v>0.22600000000000001</v>
      </c>
      <c r="O150" s="1">
        <v>2.0054000000000001E-3</v>
      </c>
      <c r="P150" s="1">
        <v>8.3000000000000004E-2</v>
      </c>
    </row>
    <row r="151" spans="1:16">
      <c r="A151" s="1" t="s">
        <v>70</v>
      </c>
      <c r="B151" s="1" t="s">
        <v>85</v>
      </c>
      <c r="C151" s="1">
        <v>50</v>
      </c>
      <c r="D151" s="1" t="s">
        <v>84</v>
      </c>
      <c r="E151" s="1"/>
      <c r="F151" s="1"/>
      <c r="G151" s="1"/>
      <c r="H151" s="1">
        <v>6</v>
      </c>
      <c r="I151" s="1">
        <v>5830</v>
      </c>
      <c r="J151" s="1">
        <v>6404</v>
      </c>
      <c r="K151" s="1">
        <v>3988</v>
      </c>
      <c r="L151" s="1">
        <v>110.36</v>
      </c>
      <c r="M151" s="1">
        <v>1.212</v>
      </c>
      <c r="N151" s="1">
        <v>0.22700000000000001</v>
      </c>
      <c r="O151" s="1">
        <v>2.0052E-3</v>
      </c>
      <c r="P151" s="1">
        <v>0</v>
      </c>
    </row>
    <row r="152" spans="1:16">
      <c r="A152" s="1" t="s">
        <v>70</v>
      </c>
      <c r="B152" s="1" t="s">
        <v>86</v>
      </c>
      <c r="C152" s="1">
        <v>51</v>
      </c>
      <c r="D152" s="1" t="s">
        <v>87</v>
      </c>
      <c r="E152" s="1"/>
      <c r="F152" s="1"/>
      <c r="G152" s="1"/>
      <c r="H152" s="1">
        <v>4</v>
      </c>
      <c r="I152" s="1">
        <v>4953</v>
      </c>
      <c r="J152" s="1">
        <v>5525</v>
      </c>
      <c r="K152" s="1">
        <v>3366</v>
      </c>
      <c r="L152" s="1">
        <v>55.664999999999999</v>
      </c>
      <c r="M152" s="1">
        <v>0.626</v>
      </c>
      <c r="N152" s="1">
        <v>0.114</v>
      </c>
      <c r="O152" s="1">
        <v>2.0019999999999999E-3</v>
      </c>
      <c r="P152" s="1">
        <v>-1.5840000000000001</v>
      </c>
    </row>
    <row r="153" spans="1:16">
      <c r="A153" s="1" t="s">
        <v>70</v>
      </c>
      <c r="B153" s="1" t="s">
        <v>86</v>
      </c>
      <c r="C153" s="1">
        <v>51</v>
      </c>
      <c r="D153" s="1" t="s">
        <v>87</v>
      </c>
      <c r="E153" s="1"/>
      <c r="F153" s="1"/>
      <c r="G153" s="1"/>
      <c r="H153" s="1">
        <v>5</v>
      </c>
      <c r="I153" s="1">
        <v>5838</v>
      </c>
      <c r="J153" s="1">
        <v>6415</v>
      </c>
      <c r="K153" s="1">
        <v>3994</v>
      </c>
      <c r="L153" s="1">
        <v>109.779</v>
      </c>
      <c r="M153" s="1">
        <v>1.206</v>
      </c>
      <c r="N153" s="1">
        <v>0.22500000000000001</v>
      </c>
      <c r="O153" s="1">
        <v>2.0054000000000001E-3</v>
      </c>
      <c r="P153" s="1">
        <v>0.122</v>
      </c>
    </row>
    <row r="154" spans="1:16">
      <c r="A154" s="1" t="s">
        <v>70</v>
      </c>
      <c r="B154" s="1" t="s">
        <v>86</v>
      </c>
      <c r="C154" s="1">
        <v>51</v>
      </c>
      <c r="D154" s="1" t="s">
        <v>87</v>
      </c>
      <c r="E154" s="1"/>
      <c r="F154" s="1"/>
      <c r="G154" s="1"/>
      <c r="H154" s="1">
        <v>6</v>
      </c>
      <c r="I154" s="1">
        <v>5837</v>
      </c>
      <c r="J154" s="1">
        <v>6413</v>
      </c>
      <c r="K154" s="1">
        <v>3993</v>
      </c>
      <c r="L154" s="1">
        <v>110.444</v>
      </c>
      <c r="M154" s="1">
        <v>1.2130000000000001</v>
      </c>
      <c r="N154" s="1">
        <v>0.22700000000000001</v>
      </c>
      <c r="O154" s="1">
        <v>2.0052E-3</v>
      </c>
      <c r="P154" s="1">
        <v>0</v>
      </c>
    </row>
    <row r="155" spans="1:16">
      <c r="A155" s="1" t="s">
        <v>70</v>
      </c>
      <c r="B155" s="1" t="s">
        <v>88</v>
      </c>
      <c r="C155" s="1">
        <v>52</v>
      </c>
      <c r="D155" s="1" t="s">
        <v>87</v>
      </c>
      <c r="E155" s="1"/>
      <c r="F155" s="1"/>
      <c r="G155" s="1"/>
      <c r="H155" s="1">
        <v>4</v>
      </c>
      <c r="I155" s="1">
        <v>4997</v>
      </c>
      <c r="J155" s="1">
        <v>5574</v>
      </c>
      <c r="K155" s="1">
        <v>3396</v>
      </c>
      <c r="L155" s="1">
        <v>55.914999999999999</v>
      </c>
      <c r="M155" s="1">
        <v>0.628</v>
      </c>
      <c r="N155" s="1">
        <v>0.115</v>
      </c>
      <c r="O155" s="1">
        <v>2.0022E-3</v>
      </c>
      <c r="P155" s="1">
        <v>-1.492</v>
      </c>
    </row>
    <row r="156" spans="1:16">
      <c r="A156" s="1" t="s">
        <v>70</v>
      </c>
      <c r="B156" s="1" t="s">
        <v>88</v>
      </c>
      <c r="C156" s="1">
        <v>52</v>
      </c>
      <c r="D156" s="1" t="s">
        <v>87</v>
      </c>
      <c r="E156" s="1"/>
      <c r="F156" s="1"/>
      <c r="G156" s="1"/>
      <c r="H156" s="1">
        <v>5</v>
      </c>
      <c r="I156" s="1">
        <v>5836</v>
      </c>
      <c r="J156" s="1">
        <v>6412</v>
      </c>
      <c r="K156" s="1">
        <v>3992</v>
      </c>
      <c r="L156" s="1">
        <v>109.95399999999999</v>
      </c>
      <c r="M156" s="1">
        <v>1.208</v>
      </c>
      <c r="N156" s="1">
        <v>0.22600000000000001</v>
      </c>
      <c r="O156" s="1">
        <v>2.0056000000000002E-3</v>
      </c>
      <c r="P156" s="1">
        <v>0.183</v>
      </c>
    </row>
    <row r="157" spans="1:16">
      <c r="A157" s="1" t="s">
        <v>70</v>
      </c>
      <c r="B157" s="1" t="s">
        <v>88</v>
      </c>
      <c r="C157" s="1">
        <v>52</v>
      </c>
      <c r="D157" s="1" t="s">
        <v>87</v>
      </c>
      <c r="E157" s="1"/>
      <c r="F157" s="1"/>
      <c r="G157" s="1"/>
      <c r="H157" s="1">
        <v>6</v>
      </c>
      <c r="I157" s="1">
        <v>5831</v>
      </c>
      <c r="J157" s="1">
        <v>6405</v>
      </c>
      <c r="K157" s="1">
        <v>3989</v>
      </c>
      <c r="L157" s="1">
        <v>110.298</v>
      </c>
      <c r="M157" s="1">
        <v>1.212</v>
      </c>
      <c r="N157" s="1">
        <v>0.22600000000000001</v>
      </c>
      <c r="O157" s="1">
        <v>2.0052E-3</v>
      </c>
      <c r="P157" s="1">
        <v>0</v>
      </c>
    </row>
    <row r="158" spans="1:16">
      <c r="A158" s="1" t="s">
        <v>70</v>
      </c>
      <c r="B158" s="1" t="s">
        <v>89</v>
      </c>
      <c r="C158" s="1">
        <v>53</v>
      </c>
      <c r="D158" s="1" t="s">
        <v>90</v>
      </c>
      <c r="E158" s="1"/>
      <c r="F158" s="1"/>
      <c r="G158" s="1"/>
      <c r="H158" s="1">
        <v>4</v>
      </c>
      <c r="I158" s="1">
        <v>4968</v>
      </c>
      <c r="J158" s="1">
        <v>5543</v>
      </c>
      <c r="K158" s="1">
        <v>3379</v>
      </c>
      <c r="L158" s="1">
        <v>55.838999999999999</v>
      </c>
      <c r="M158" s="1">
        <v>0.628</v>
      </c>
      <c r="N158" s="1">
        <v>0.115</v>
      </c>
      <c r="O158" s="1">
        <v>2.0048000000000002E-3</v>
      </c>
      <c r="P158" s="1">
        <v>-0.224</v>
      </c>
    </row>
    <row r="159" spans="1:16">
      <c r="A159" s="1" t="s">
        <v>70</v>
      </c>
      <c r="B159" s="1" t="s">
        <v>89</v>
      </c>
      <c r="C159" s="1">
        <v>53</v>
      </c>
      <c r="D159" s="1" t="s">
        <v>90</v>
      </c>
      <c r="E159" s="1"/>
      <c r="F159" s="1"/>
      <c r="G159" s="1"/>
      <c r="H159" s="1">
        <v>5</v>
      </c>
      <c r="I159" s="1">
        <v>5843</v>
      </c>
      <c r="J159" s="1">
        <v>6419</v>
      </c>
      <c r="K159" s="1">
        <v>3998</v>
      </c>
      <c r="L159" s="1">
        <v>110.101</v>
      </c>
      <c r="M159" s="1">
        <v>1.21</v>
      </c>
      <c r="N159" s="1">
        <v>0.22600000000000001</v>
      </c>
      <c r="O159" s="1">
        <v>2.0054999999999999E-3</v>
      </c>
      <c r="P159" s="1">
        <v>0.157</v>
      </c>
    </row>
    <row r="160" spans="1:16">
      <c r="A160" s="1" t="s">
        <v>70</v>
      </c>
      <c r="B160" s="1" t="s">
        <v>89</v>
      </c>
      <c r="C160" s="1">
        <v>53</v>
      </c>
      <c r="D160" s="1" t="s">
        <v>90</v>
      </c>
      <c r="E160" s="1"/>
      <c r="F160" s="1"/>
      <c r="G160" s="1"/>
      <c r="H160" s="1">
        <v>6</v>
      </c>
      <c r="I160" s="1">
        <v>5839</v>
      </c>
      <c r="J160" s="1">
        <v>6415</v>
      </c>
      <c r="K160" s="1">
        <v>3994</v>
      </c>
      <c r="L160" s="1">
        <v>110.581</v>
      </c>
      <c r="M160" s="1">
        <v>1.2150000000000001</v>
      </c>
      <c r="N160" s="1">
        <v>0.22700000000000001</v>
      </c>
      <c r="O160" s="1">
        <v>2.0052E-3</v>
      </c>
      <c r="P160" s="1">
        <v>0</v>
      </c>
    </row>
    <row r="161" spans="1:16">
      <c r="A161" s="1" t="s">
        <v>70</v>
      </c>
      <c r="B161" s="1" t="s">
        <v>91</v>
      </c>
      <c r="C161" s="1">
        <v>54</v>
      </c>
      <c r="D161" s="1" t="s">
        <v>90</v>
      </c>
      <c r="E161" s="1"/>
      <c r="F161" s="1"/>
      <c r="G161" s="1"/>
      <c r="H161" s="1">
        <v>4</v>
      </c>
      <c r="I161" s="1">
        <v>5001</v>
      </c>
      <c r="J161" s="1">
        <v>5580</v>
      </c>
      <c r="K161" s="1">
        <v>3402</v>
      </c>
      <c r="L161" s="1">
        <v>56.213999999999999</v>
      </c>
      <c r="M161" s="1">
        <v>0.63200000000000001</v>
      </c>
      <c r="N161" s="1">
        <v>0.115</v>
      </c>
      <c r="O161" s="1">
        <v>2.0046999999999999E-3</v>
      </c>
      <c r="P161" s="1">
        <v>-0.27200000000000002</v>
      </c>
    </row>
    <row r="162" spans="1:16">
      <c r="A162" s="1" t="s">
        <v>70</v>
      </c>
      <c r="B162" s="1" t="s">
        <v>91</v>
      </c>
      <c r="C162" s="1">
        <v>54</v>
      </c>
      <c r="D162" s="1" t="s">
        <v>90</v>
      </c>
      <c r="E162" s="1"/>
      <c r="F162" s="1"/>
      <c r="G162" s="1"/>
      <c r="H162" s="1">
        <v>5</v>
      </c>
      <c r="I162" s="1">
        <v>5854</v>
      </c>
      <c r="J162" s="1">
        <v>6432</v>
      </c>
      <c r="K162" s="1">
        <v>4004</v>
      </c>
      <c r="L162" s="1">
        <v>110.361</v>
      </c>
      <c r="M162" s="1">
        <v>1.212</v>
      </c>
      <c r="N162" s="1">
        <v>0.22700000000000001</v>
      </c>
      <c r="O162" s="1">
        <v>2.0054999999999999E-3</v>
      </c>
      <c r="P162" s="1">
        <v>0.13</v>
      </c>
    </row>
    <row r="163" spans="1:16">
      <c r="A163" s="1" t="s">
        <v>70</v>
      </c>
      <c r="B163" s="1" t="s">
        <v>91</v>
      </c>
      <c r="C163" s="1">
        <v>54</v>
      </c>
      <c r="D163" s="1" t="s">
        <v>90</v>
      </c>
      <c r="E163" s="1"/>
      <c r="F163" s="1"/>
      <c r="G163" s="1"/>
      <c r="H163" s="1">
        <v>6</v>
      </c>
      <c r="I163" s="1">
        <v>5850</v>
      </c>
      <c r="J163" s="1">
        <v>6426</v>
      </c>
      <c r="K163" s="1">
        <v>4001</v>
      </c>
      <c r="L163" s="1">
        <v>110.337</v>
      </c>
      <c r="M163" s="1">
        <v>1.212</v>
      </c>
      <c r="N163" s="1">
        <v>0.22600000000000001</v>
      </c>
      <c r="O163" s="1">
        <v>2.0052E-3</v>
      </c>
      <c r="P163" s="1">
        <v>0</v>
      </c>
    </row>
    <row r="164" spans="1:16">
      <c r="A164" s="1" t="s">
        <v>70</v>
      </c>
      <c r="B164" s="1" t="s">
        <v>92</v>
      </c>
      <c r="C164" s="1">
        <v>55</v>
      </c>
      <c r="D164" s="1" t="s">
        <v>93</v>
      </c>
      <c r="E164" s="1"/>
      <c r="F164" s="1"/>
      <c r="G164" s="1"/>
      <c r="H164" s="1">
        <v>4</v>
      </c>
      <c r="I164" s="1">
        <v>5073</v>
      </c>
      <c r="J164" s="1">
        <v>5659</v>
      </c>
      <c r="K164" s="1">
        <v>3447</v>
      </c>
      <c r="L164" s="1">
        <v>57.228999999999999</v>
      </c>
      <c r="M164" s="1">
        <v>0.64300000000000002</v>
      </c>
      <c r="N164" s="1">
        <v>0.11700000000000001</v>
      </c>
      <c r="O164" s="1">
        <v>2.0019999999999999E-3</v>
      </c>
      <c r="P164" s="1">
        <v>-1.611</v>
      </c>
    </row>
    <row r="165" spans="1:16">
      <c r="A165" s="1" t="s">
        <v>70</v>
      </c>
      <c r="B165" s="1" t="s">
        <v>92</v>
      </c>
      <c r="C165" s="1">
        <v>55</v>
      </c>
      <c r="D165" s="1" t="s">
        <v>93</v>
      </c>
      <c r="E165" s="1"/>
      <c r="F165" s="1"/>
      <c r="G165" s="1"/>
      <c r="H165" s="1">
        <v>5</v>
      </c>
      <c r="I165" s="1">
        <v>5833</v>
      </c>
      <c r="J165" s="1">
        <v>6408</v>
      </c>
      <c r="K165" s="1">
        <v>3990</v>
      </c>
      <c r="L165" s="1">
        <v>110.48099999999999</v>
      </c>
      <c r="M165" s="1">
        <v>1.214</v>
      </c>
      <c r="N165" s="1">
        <v>0.22700000000000001</v>
      </c>
      <c r="O165" s="1">
        <v>2.0054000000000001E-3</v>
      </c>
      <c r="P165" s="1">
        <v>0.11</v>
      </c>
    </row>
    <row r="166" spans="1:16">
      <c r="A166" s="1" t="s">
        <v>70</v>
      </c>
      <c r="B166" s="1" t="s">
        <v>92</v>
      </c>
      <c r="C166" s="1">
        <v>55</v>
      </c>
      <c r="D166" s="1" t="s">
        <v>93</v>
      </c>
      <c r="E166" s="1"/>
      <c r="F166" s="1"/>
      <c r="G166" s="1"/>
      <c r="H166" s="1">
        <v>6</v>
      </c>
      <c r="I166" s="1">
        <v>5834</v>
      </c>
      <c r="J166" s="1">
        <v>6408</v>
      </c>
      <c r="K166" s="1">
        <v>3990</v>
      </c>
      <c r="L166" s="1">
        <v>110.34399999999999</v>
      </c>
      <c r="M166" s="1">
        <v>1.212</v>
      </c>
      <c r="N166" s="1">
        <v>0.22600000000000001</v>
      </c>
      <c r="O166" s="1">
        <v>2.0052E-3</v>
      </c>
      <c r="P166" s="1">
        <v>0</v>
      </c>
    </row>
    <row r="167" spans="1:16">
      <c r="A167" s="1" t="s">
        <v>70</v>
      </c>
      <c r="B167" s="1" t="s">
        <v>94</v>
      </c>
      <c r="C167" s="1">
        <v>56</v>
      </c>
      <c r="D167" s="1" t="s">
        <v>93</v>
      </c>
      <c r="E167" s="1"/>
      <c r="F167" s="1"/>
      <c r="G167" s="1"/>
      <c r="H167" s="1">
        <v>4</v>
      </c>
      <c r="I167" s="1">
        <v>5033</v>
      </c>
      <c r="J167" s="1">
        <v>5614</v>
      </c>
      <c r="K167" s="1">
        <v>3419</v>
      </c>
      <c r="L167" s="1">
        <v>56.845999999999997</v>
      </c>
      <c r="M167" s="1">
        <v>0.63900000000000001</v>
      </c>
      <c r="N167" s="1">
        <v>0.11700000000000001</v>
      </c>
      <c r="O167" s="1">
        <v>2.0019999999999999E-3</v>
      </c>
      <c r="P167" s="1">
        <v>-1.5760000000000001</v>
      </c>
    </row>
    <row r="168" spans="1:16">
      <c r="A168" s="1" t="s">
        <v>70</v>
      </c>
      <c r="B168" s="1" t="s">
        <v>94</v>
      </c>
      <c r="C168" s="1">
        <v>56</v>
      </c>
      <c r="D168" s="1" t="s">
        <v>93</v>
      </c>
      <c r="E168" s="1"/>
      <c r="F168" s="1"/>
      <c r="G168" s="1"/>
      <c r="H168" s="1">
        <v>5</v>
      </c>
      <c r="I168" s="1">
        <v>5837</v>
      </c>
      <c r="J168" s="1">
        <v>6412</v>
      </c>
      <c r="K168" s="1">
        <v>3993</v>
      </c>
      <c r="L168" s="1">
        <v>109.907</v>
      </c>
      <c r="M168" s="1">
        <v>1.2070000000000001</v>
      </c>
      <c r="N168" s="1">
        <v>0.22600000000000001</v>
      </c>
      <c r="O168" s="1">
        <v>2.0054999999999999E-3</v>
      </c>
      <c r="P168" s="1">
        <v>0.13900000000000001</v>
      </c>
    </row>
    <row r="169" spans="1:16">
      <c r="A169" s="1" t="s">
        <v>70</v>
      </c>
      <c r="B169" s="1" t="s">
        <v>94</v>
      </c>
      <c r="C169" s="1">
        <v>56</v>
      </c>
      <c r="D169" s="1" t="s">
        <v>93</v>
      </c>
      <c r="E169" s="1"/>
      <c r="F169" s="1"/>
      <c r="G169" s="1"/>
      <c r="H169" s="1">
        <v>6</v>
      </c>
      <c r="I169" s="1">
        <v>5835</v>
      </c>
      <c r="J169" s="1">
        <v>6411</v>
      </c>
      <c r="K169" s="1">
        <v>3992</v>
      </c>
      <c r="L169" s="1">
        <v>110.649</v>
      </c>
      <c r="M169" s="1">
        <v>1.216</v>
      </c>
      <c r="N169" s="1">
        <v>0.22700000000000001</v>
      </c>
      <c r="O169" s="1">
        <v>2.0052E-3</v>
      </c>
      <c r="P169" s="1">
        <v>0</v>
      </c>
    </row>
    <row r="170" spans="1:16">
      <c r="A170" s="1" t="s">
        <v>70</v>
      </c>
      <c r="B170" s="1" t="s">
        <v>95</v>
      </c>
      <c r="C170" s="1">
        <v>57</v>
      </c>
      <c r="D170" s="1" t="s">
        <v>96</v>
      </c>
      <c r="E170" s="1"/>
      <c r="F170" s="1"/>
      <c r="G170" s="1"/>
      <c r="H170" s="1">
        <v>4</v>
      </c>
      <c r="I170" s="1">
        <v>4966</v>
      </c>
      <c r="J170" s="1">
        <v>5540</v>
      </c>
      <c r="K170" s="1">
        <v>3368</v>
      </c>
      <c r="L170" s="1">
        <v>55.662999999999997</v>
      </c>
      <c r="M170" s="1">
        <v>0.626</v>
      </c>
      <c r="N170" s="1">
        <v>0.114</v>
      </c>
      <c r="O170" s="1">
        <v>1.9981999999999999E-3</v>
      </c>
      <c r="P170" s="1">
        <v>-3.5110000000000001</v>
      </c>
    </row>
    <row r="171" spans="1:16">
      <c r="A171" s="1" t="s">
        <v>70</v>
      </c>
      <c r="B171" s="1" t="s">
        <v>95</v>
      </c>
      <c r="C171" s="1">
        <v>57</v>
      </c>
      <c r="D171" s="1" t="s">
        <v>96</v>
      </c>
      <c r="E171" s="1"/>
      <c r="F171" s="1"/>
      <c r="G171" s="1"/>
      <c r="H171" s="1">
        <v>5</v>
      </c>
      <c r="I171" s="1">
        <v>5843</v>
      </c>
      <c r="J171" s="1">
        <v>6420</v>
      </c>
      <c r="K171" s="1">
        <v>3997</v>
      </c>
      <c r="L171" s="1">
        <v>109.809</v>
      </c>
      <c r="M171" s="1">
        <v>1.206</v>
      </c>
      <c r="N171" s="1">
        <v>0.22500000000000001</v>
      </c>
      <c r="O171" s="1">
        <v>2.0054999999999999E-3</v>
      </c>
      <c r="P171" s="1">
        <v>0.17299999999999999</v>
      </c>
    </row>
    <row r="172" spans="1:16">
      <c r="A172" s="1" t="s">
        <v>70</v>
      </c>
      <c r="B172" s="1" t="s">
        <v>95</v>
      </c>
      <c r="C172" s="1">
        <v>57</v>
      </c>
      <c r="D172" s="1" t="s">
        <v>96</v>
      </c>
      <c r="E172" s="1"/>
      <c r="F172" s="1"/>
      <c r="G172" s="1"/>
      <c r="H172" s="1">
        <v>6</v>
      </c>
      <c r="I172" s="1">
        <v>5839</v>
      </c>
      <c r="J172" s="1">
        <v>6414</v>
      </c>
      <c r="K172" s="1">
        <v>3995</v>
      </c>
      <c r="L172" s="1">
        <v>110.556</v>
      </c>
      <c r="M172" s="1">
        <v>1.2150000000000001</v>
      </c>
      <c r="N172" s="1">
        <v>0.22700000000000001</v>
      </c>
      <c r="O172" s="1">
        <v>2.0052E-3</v>
      </c>
      <c r="P172" s="1">
        <v>0</v>
      </c>
    </row>
    <row r="173" spans="1:16">
      <c r="A173" s="1" t="s">
        <v>70</v>
      </c>
      <c r="B173" s="1" t="s">
        <v>97</v>
      </c>
      <c r="C173" s="1">
        <v>58</v>
      </c>
      <c r="D173" s="1" t="s">
        <v>96</v>
      </c>
      <c r="E173" s="1"/>
      <c r="F173" s="1"/>
      <c r="G173" s="1"/>
      <c r="H173" s="1">
        <v>4</v>
      </c>
      <c r="I173" s="1">
        <v>5088</v>
      </c>
      <c r="J173" s="1">
        <v>5676</v>
      </c>
      <c r="K173" s="1">
        <v>3451</v>
      </c>
      <c r="L173" s="1">
        <v>57.463999999999999</v>
      </c>
      <c r="M173" s="1">
        <v>0.64600000000000002</v>
      </c>
      <c r="N173" s="1">
        <v>0.11799999999999999</v>
      </c>
      <c r="O173" s="1">
        <v>1.9986000000000001E-3</v>
      </c>
      <c r="P173" s="1">
        <v>-3.2719999999999998</v>
      </c>
    </row>
    <row r="174" spans="1:16">
      <c r="A174" s="1" t="s">
        <v>70</v>
      </c>
      <c r="B174" s="1" t="s">
        <v>97</v>
      </c>
      <c r="C174" s="1">
        <v>58</v>
      </c>
      <c r="D174" s="1" t="s">
        <v>96</v>
      </c>
      <c r="E174" s="1"/>
      <c r="F174" s="1"/>
      <c r="G174" s="1"/>
      <c r="H174" s="1">
        <v>5</v>
      </c>
      <c r="I174" s="1">
        <v>5832</v>
      </c>
      <c r="J174" s="1">
        <v>6407</v>
      </c>
      <c r="K174" s="1">
        <v>3989</v>
      </c>
      <c r="L174" s="1">
        <v>109.90600000000001</v>
      </c>
      <c r="M174" s="1">
        <v>1.2070000000000001</v>
      </c>
      <c r="N174" s="1">
        <v>0.22600000000000001</v>
      </c>
      <c r="O174" s="1">
        <v>2.0054999999999999E-3</v>
      </c>
      <c r="P174" s="1">
        <v>0.13900000000000001</v>
      </c>
    </row>
    <row r="175" spans="1:16">
      <c r="A175" s="1" t="s">
        <v>70</v>
      </c>
      <c r="B175" s="1" t="s">
        <v>97</v>
      </c>
      <c r="C175" s="1">
        <v>58</v>
      </c>
      <c r="D175" s="1" t="s">
        <v>96</v>
      </c>
      <c r="E175" s="1"/>
      <c r="F175" s="1"/>
      <c r="G175" s="1"/>
      <c r="H175" s="1">
        <v>6</v>
      </c>
      <c r="I175" s="1">
        <v>5827</v>
      </c>
      <c r="J175" s="1">
        <v>6402</v>
      </c>
      <c r="K175" s="1">
        <v>3986</v>
      </c>
      <c r="L175" s="1">
        <v>110.128</v>
      </c>
      <c r="M175" s="1">
        <v>1.21</v>
      </c>
      <c r="N175" s="1">
        <v>0.22600000000000001</v>
      </c>
      <c r="O175" s="1">
        <v>2.0052E-3</v>
      </c>
      <c r="P175" s="1">
        <v>0</v>
      </c>
    </row>
    <row r="176" spans="1:16">
      <c r="A176" s="1" t="s">
        <v>70</v>
      </c>
      <c r="B176" s="1" t="s">
        <v>98</v>
      </c>
      <c r="C176" s="1">
        <v>59</v>
      </c>
      <c r="D176" s="1" t="s">
        <v>20</v>
      </c>
      <c r="E176" s="1"/>
      <c r="F176" s="1"/>
      <c r="G176" s="1"/>
      <c r="H176" s="1">
        <v>4</v>
      </c>
      <c r="I176" s="1">
        <v>5022</v>
      </c>
      <c r="J176" s="1">
        <v>5602</v>
      </c>
      <c r="K176" s="1">
        <v>3402</v>
      </c>
      <c r="L176" s="1">
        <v>56.406999999999996</v>
      </c>
      <c r="M176" s="1">
        <v>0.63400000000000001</v>
      </c>
      <c r="N176" s="1">
        <v>0.115</v>
      </c>
      <c r="O176" s="1">
        <v>1.9959999999999999E-3</v>
      </c>
      <c r="P176" s="1">
        <v>-4.5659999999999998</v>
      </c>
    </row>
    <row r="177" spans="1:16">
      <c r="A177" s="1" t="s">
        <v>70</v>
      </c>
      <c r="B177" s="1" t="s">
        <v>98</v>
      </c>
      <c r="C177" s="1">
        <v>59</v>
      </c>
      <c r="D177" s="1" t="s">
        <v>20</v>
      </c>
      <c r="E177" s="1"/>
      <c r="F177" s="1"/>
      <c r="G177" s="1"/>
      <c r="H177" s="1">
        <v>5</v>
      </c>
      <c r="I177" s="1">
        <v>5846</v>
      </c>
      <c r="J177" s="1">
        <v>6422</v>
      </c>
      <c r="K177" s="1">
        <v>3999</v>
      </c>
      <c r="L177" s="1">
        <v>110.57299999999999</v>
      </c>
      <c r="M177" s="1">
        <v>1.2150000000000001</v>
      </c>
      <c r="N177" s="1">
        <v>0.22700000000000001</v>
      </c>
      <c r="O177" s="1">
        <v>2.0052999999999998E-3</v>
      </c>
      <c r="P177" s="1">
        <v>6.0999999999999999E-2</v>
      </c>
    </row>
    <row r="178" spans="1:16">
      <c r="A178" s="1" t="s">
        <v>70</v>
      </c>
      <c r="B178" s="1" t="s">
        <v>98</v>
      </c>
      <c r="C178" s="1">
        <v>59</v>
      </c>
      <c r="D178" s="1" t="s">
        <v>20</v>
      </c>
      <c r="E178" s="1"/>
      <c r="F178" s="1"/>
      <c r="G178" s="1"/>
      <c r="H178" s="1">
        <v>6</v>
      </c>
      <c r="I178" s="1">
        <v>5844</v>
      </c>
      <c r="J178" s="1">
        <v>6419</v>
      </c>
      <c r="K178" s="1">
        <v>3997</v>
      </c>
      <c r="L178" s="1">
        <v>110.79900000000001</v>
      </c>
      <c r="M178" s="1">
        <v>1.2170000000000001</v>
      </c>
      <c r="N178" s="1">
        <v>0.22700000000000001</v>
      </c>
      <c r="O178" s="1">
        <v>2.0052E-3</v>
      </c>
      <c r="P178" s="1">
        <v>0</v>
      </c>
    </row>
    <row r="179" spans="1:16">
      <c r="A179" s="1" t="s">
        <v>70</v>
      </c>
      <c r="B179" s="1" t="s">
        <v>99</v>
      </c>
      <c r="C179" s="1">
        <v>60</v>
      </c>
      <c r="D179" s="1" t="s">
        <v>20</v>
      </c>
      <c r="E179" s="1"/>
      <c r="F179" s="1"/>
      <c r="G179" s="1"/>
      <c r="H179" s="1">
        <v>4</v>
      </c>
      <c r="I179" s="1">
        <v>4986</v>
      </c>
      <c r="J179" s="1">
        <v>5562</v>
      </c>
      <c r="K179" s="1">
        <v>3377</v>
      </c>
      <c r="L179" s="1">
        <v>56.140999999999998</v>
      </c>
      <c r="M179" s="1">
        <v>0.63100000000000001</v>
      </c>
      <c r="N179" s="1">
        <v>0.115</v>
      </c>
      <c r="O179" s="1">
        <v>1.9960999999999998E-3</v>
      </c>
      <c r="P179" s="1">
        <v>-4.5250000000000004</v>
      </c>
    </row>
    <row r="180" spans="1:16">
      <c r="A180" s="1" t="s">
        <v>70</v>
      </c>
      <c r="B180" s="1" t="s">
        <v>99</v>
      </c>
      <c r="C180" s="1">
        <v>60</v>
      </c>
      <c r="D180" s="1" t="s">
        <v>20</v>
      </c>
      <c r="E180" s="1"/>
      <c r="F180" s="1"/>
      <c r="G180" s="1"/>
      <c r="H180" s="1">
        <v>5</v>
      </c>
      <c r="I180" s="1">
        <v>5828</v>
      </c>
      <c r="J180" s="1">
        <v>6403</v>
      </c>
      <c r="K180" s="1">
        <v>3986</v>
      </c>
      <c r="L180" s="1">
        <v>109.753</v>
      </c>
      <c r="M180" s="1">
        <v>1.206</v>
      </c>
      <c r="N180" s="1">
        <v>0.22500000000000001</v>
      </c>
      <c r="O180" s="1">
        <v>2.0054999999999999E-3</v>
      </c>
      <c r="P180" s="1">
        <v>0.17199999999999999</v>
      </c>
    </row>
    <row r="181" spans="1:16">
      <c r="A181" s="1" t="s">
        <v>70</v>
      </c>
      <c r="B181" s="1" t="s">
        <v>99</v>
      </c>
      <c r="C181" s="1">
        <v>60</v>
      </c>
      <c r="D181" s="1" t="s">
        <v>20</v>
      </c>
      <c r="E181" s="1"/>
      <c r="F181" s="1"/>
      <c r="G181" s="1"/>
      <c r="H181" s="1">
        <v>6</v>
      </c>
      <c r="I181" s="1">
        <v>5828</v>
      </c>
      <c r="J181" s="1">
        <v>6403</v>
      </c>
      <c r="K181" s="1">
        <v>3987</v>
      </c>
      <c r="L181" s="1">
        <v>110.273</v>
      </c>
      <c r="M181" s="1">
        <v>1.2110000000000001</v>
      </c>
      <c r="N181" s="1">
        <v>0.22600000000000001</v>
      </c>
      <c r="O181" s="1">
        <v>2.0052E-3</v>
      </c>
      <c r="P181" s="1">
        <v>0</v>
      </c>
    </row>
    <row r="182" spans="1:16">
      <c r="A182" s="1" t="s">
        <v>70</v>
      </c>
      <c r="B182" s="1" t="s">
        <v>100</v>
      </c>
      <c r="C182" s="1">
        <v>61</v>
      </c>
      <c r="D182" s="1" t="s">
        <v>101</v>
      </c>
      <c r="E182" s="1"/>
      <c r="F182" s="1"/>
      <c r="G182" s="1"/>
      <c r="H182" s="1">
        <v>4</v>
      </c>
      <c r="I182" s="1">
        <v>4973</v>
      </c>
      <c r="J182" s="1">
        <v>5548</v>
      </c>
      <c r="K182" s="1">
        <v>3378</v>
      </c>
      <c r="L182" s="1">
        <v>56.415999999999997</v>
      </c>
      <c r="M182" s="1">
        <v>0.63400000000000001</v>
      </c>
      <c r="N182" s="1">
        <v>0.11600000000000001</v>
      </c>
      <c r="O182" s="1">
        <v>2.0021000000000001E-3</v>
      </c>
      <c r="P182" s="1">
        <v>-1.5449999999999999</v>
      </c>
    </row>
    <row r="183" spans="1:16">
      <c r="A183" s="1" t="s">
        <v>70</v>
      </c>
      <c r="B183" s="1" t="s">
        <v>100</v>
      </c>
      <c r="C183" s="1">
        <v>61</v>
      </c>
      <c r="D183" s="1" t="s">
        <v>101</v>
      </c>
      <c r="E183" s="1"/>
      <c r="F183" s="1"/>
      <c r="G183" s="1"/>
      <c r="H183" s="1">
        <v>5</v>
      </c>
      <c r="I183" s="1">
        <v>5833</v>
      </c>
      <c r="J183" s="1">
        <v>6408</v>
      </c>
      <c r="K183" s="1">
        <v>3990</v>
      </c>
      <c r="L183" s="1">
        <v>109.988</v>
      </c>
      <c r="M183" s="1">
        <v>1.208</v>
      </c>
      <c r="N183" s="1">
        <v>0.22600000000000001</v>
      </c>
      <c r="O183" s="1">
        <v>2.0054999999999999E-3</v>
      </c>
      <c r="P183" s="1">
        <v>0.15</v>
      </c>
    </row>
    <row r="184" spans="1:16">
      <c r="A184" s="1" t="s">
        <v>70</v>
      </c>
      <c r="B184" s="1" t="s">
        <v>100</v>
      </c>
      <c r="C184" s="1">
        <v>61</v>
      </c>
      <c r="D184" s="1" t="s">
        <v>101</v>
      </c>
      <c r="E184" s="1"/>
      <c r="F184" s="1"/>
      <c r="G184" s="1"/>
      <c r="H184" s="1">
        <v>6</v>
      </c>
      <c r="I184" s="1">
        <v>5829</v>
      </c>
      <c r="J184" s="1">
        <v>6403</v>
      </c>
      <c r="K184" s="1">
        <v>3988</v>
      </c>
      <c r="L184" s="1">
        <v>110.416</v>
      </c>
      <c r="M184" s="1">
        <v>1.2130000000000001</v>
      </c>
      <c r="N184" s="1">
        <v>0.22700000000000001</v>
      </c>
      <c r="O184" s="1">
        <v>2.0052E-3</v>
      </c>
      <c r="P184" s="1">
        <v>0</v>
      </c>
    </row>
    <row r="185" spans="1:16">
      <c r="A185" s="1" t="s">
        <v>70</v>
      </c>
      <c r="B185" s="1" t="s">
        <v>102</v>
      </c>
      <c r="C185" s="1">
        <v>62</v>
      </c>
      <c r="D185" s="1" t="s">
        <v>101</v>
      </c>
      <c r="E185" s="1"/>
      <c r="F185" s="1"/>
      <c r="G185" s="1"/>
      <c r="H185" s="1">
        <v>4</v>
      </c>
      <c r="I185" s="1">
        <v>5085</v>
      </c>
      <c r="J185" s="1">
        <v>5672</v>
      </c>
      <c r="K185" s="1">
        <v>3454</v>
      </c>
      <c r="L185" s="1">
        <v>57.387</v>
      </c>
      <c r="M185" s="1">
        <v>0.64500000000000002</v>
      </c>
      <c r="N185" s="1">
        <v>0.11799999999999999</v>
      </c>
      <c r="O185" s="1">
        <v>2.0018000000000002E-3</v>
      </c>
      <c r="P185" s="1">
        <v>-1.7130000000000001</v>
      </c>
    </row>
    <row r="186" spans="1:16">
      <c r="A186" s="1" t="s">
        <v>70</v>
      </c>
      <c r="B186" s="1" t="s">
        <v>102</v>
      </c>
      <c r="C186" s="1">
        <v>62</v>
      </c>
      <c r="D186" s="1" t="s">
        <v>101</v>
      </c>
      <c r="E186" s="1"/>
      <c r="F186" s="1"/>
      <c r="G186" s="1"/>
      <c r="H186" s="1">
        <v>5</v>
      </c>
      <c r="I186" s="1">
        <v>5819</v>
      </c>
      <c r="J186" s="1">
        <v>6392</v>
      </c>
      <c r="K186" s="1">
        <v>3981</v>
      </c>
      <c r="L186" s="1">
        <v>109.485</v>
      </c>
      <c r="M186" s="1">
        <v>1.2030000000000001</v>
      </c>
      <c r="N186" s="1">
        <v>0.22500000000000001</v>
      </c>
      <c r="O186" s="1">
        <v>2.0056000000000002E-3</v>
      </c>
      <c r="P186" s="1">
        <v>0.182</v>
      </c>
    </row>
    <row r="187" spans="1:16">
      <c r="A187" s="1" t="s">
        <v>70</v>
      </c>
      <c r="B187" s="1" t="s">
        <v>102</v>
      </c>
      <c r="C187" s="1">
        <v>62</v>
      </c>
      <c r="D187" s="1" t="s">
        <v>101</v>
      </c>
      <c r="E187" s="1"/>
      <c r="F187" s="1"/>
      <c r="G187" s="1"/>
      <c r="H187" s="1">
        <v>6</v>
      </c>
      <c r="I187" s="1">
        <v>5827</v>
      </c>
      <c r="J187" s="1">
        <v>6401</v>
      </c>
      <c r="K187" s="1">
        <v>3985</v>
      </c>
      <c r="L187" s="1">
        <v>110.32</v>
      </c>
      <c r="M187" s="1">
        <v>1.212</v>
      </c>
      <c r="N187" s="1">
        <v>0.22600000000000001</v>
      </c>
      <c r="O187" s="1">
        <v>2.0052E-3</v>
      </c>
      <c r="P187" s="1">
        <v>0</v>
      </c>
    </row>
    <row r="188" spans="1:16">
      <c r="A188" s="1" t="s">
        <v>70</v>
      </c>
      <c r="B188" s="1" t="s">
        <v>103</v>
      </c>
      <c r="C188" s="1">
        <v>63</v>
      </c>
      <c r="D188" s="1" t="s">
        <v>104</v>
      </c>
      <c r="E188" s="1"/>
      <c r="F188" s="1"/>
      <c r="G188" s="1"/>
      <c r="H188" s="1">
        <v>4</v>
      </c>
      <c r="I188" s="1">
        <v>5183</v>
      </c>
      <c r="J188" s="1">
        <v>5780</v>
      </c>
      <c r="K188" s="1">
        <v>3508</v>
      </c>
      <c r="L188" s="1">
        <v>58.713000000000001</v>
      </c>
      <c r="M188" s="1">
        <v>0.66</v>
      </c>
      <c r="N188" s="1">
        <v>0.12</v>
      </c>
      <c r="O188" s="1">
        <v>1.9949E-3</v>
      </c>
      <c r="P188" s="1">
        <v>-5.1280000000000001</v>
      </c>
    </row>
    <row r="189" spans="1:16">
      <c r="A189" s="1" t="s">
        <v>70</v>
      </c>
      <c r="B189" s="1" t="s">
        <v>103</v>
      </c>
      <c r="C189" s="1">
        <v>63</v>
      </c>
      <c r="D189" s="1" t="s">
        <v>104</v>
      </c>
      <c r="E189" s="1"/>
      <c r="F189" s="1"/>
      <c r="G189" s="1"/>
      <c r="H189" s="1">
        <v>5</v>
      </c>
      <c r="I189" s="1">
        <v>5831</v>
      </c>
      <c r="J189" s="1">
        <v>6407</v>
      </c>
      <c r="K189" s="1">
        <v>3989</v>
      </c>
      <c r="L189" s="1">
        <v>109.861</v>
      </c>
      <c r="M189" s="1">
        <v>1.2070000000000001</v>
      </c>
      <c r="N189" s="1">
        <v>0.22600000000000001</v>
      </c>
      <c r="O189" s="1">
        <v>2.0054999999999999E-3</v>
      </c>
      <c r="P189" s="1">
        <v>0.129</v>
      </c>
    </row>
    <row r="190" spans="1:16">
      <c r="A190" s="1" t="s">
        <v>70</v>
      </c>
      <c r="B190" s="1" t="s">
        <v>103</v>
      </c>
      <c r="C190" s="1">
        <v>63</v>
      </c>
      <c r="D190" s="1" t="s">
        <v>104</v>
      </c>
      <c r="E190" s="1"/>
      <c r="F190" s="1"/>
      <c r="G190" s="1"/>
      <c r="H190" s="1">
        <v>6</v>
      </c>
      <c r="I190" s="1">
        <v>5830</v>
      </c>
      <c r="J190" s="1">
        <v>6405</v>
      </c>
      <c r="K190" s="1">
        <v>3988</v>
      </c>
      <c r="L190" s="1">
        <v>110.324</v>
      </c>
      <c r="M190" s="1">
        <v>1.212</v>
      </c>
      <c r="N190" s="1">
        <v>0.22600000000000001</v>
      </c>
      <c r="O190" s="1">
        <v>2.0052E-3</v>
      </c>
      <c r="P190" s="1">
        <v>0</v>
      </c>
    </row>
    <row r="191" spans="1:16">
      <c r="A191" s="1" t="s">
        <v>70</v>
      </c>
      <c r="B191" s="1" t="s">
        <v>105</v>
      </c>
      <c r="C191" s="1">
        <v>64</v>
      </c>
      <c r="D191" s="1" t="s">
        <v>104</v>
      </c>
      <c r="E191" s="1"/>
      <c r="F191" s="1"/>
      <c r="G191" s="1"/>
      <c r="H191" s="1">
        <v>4</v>
      </c>
      <c r="I191" s="1">
        <v>5176</v>
      </c>
      <c r="J191" s="1">
        <v>5774</v>
      </c>
      <c r="K191" s="1">
        <v>3503</v>
      </c>
      <c r="L191" s="1">
        <v>58.845999999999997</v>
      </c>
      <c r="M191" s="1">
        <v>0.66100000000000003</v>
      </c>
      <c r="N191" s="1">
        <v>0.12</v>
      </c>
      <c r="O191" s="1">
        <v>1.9943999999999999E-3</v>
      </c>
      <c r="P191" s="1">
        <v>-5.3659999999999997</v>
      </c>
    </row>
    <row r="192" spans="1:16">
      <c r="A192" s="1" t="s">
        <v>70</v>
      </c>
      <c r="B192" s="1" t="s">
        <v>105</v>
      </c>
      <c r="C192" s="1">
        <v>64</v>
      </c>
      <c r="D192" s="1" t="s">
        <v>104</v>
      </c>
      <c r="E192" s="1"/>
      <c r="F192" s="1"/>
      <c r="G192" s="1"/>
      <c r="H192" s="1">
        <v>5</v>
      </c>
      <c r="I192" s="1">
        <v>5842</v>
      </c>
      <c r="J192" s="1">
        <v>6419</v>
      </c>
      <c r="K192" s="1">
        <v>3996</v>
      </c>
      <c r="L192" s="1">
        <v>109.994</v>
      </c>
      <c r="M192" s="1">
        <v>1.208</v>
      </c>
      <c r="N192" s="1">
        <v>0.22600000000000001</v>
      </c>
      <c r="O192" s="1">
        <v>2.0054999999999999E-3</v>
      </c>
      <c r="P192" s="1">
        <v>0.14299999999999999</v>
      </c>
    </row>
    <row r="193" spans="1:16">
      <c r="A193" s="1" t="s">
        <v>70</v>
      </c>
      <c r="B193" s="1" t="s">
        <v>105</v>
      </c>
      <c r="C193" s="1">
        <v>64</v>
      </c>
      <c r="D193" s="1" t="s">
        <v>104</v>
      </c>
      <c r="E193" s="1"/>
      <c r="F193" s="1"/>
      <c r="G193" s="1"/>
      <c r="H193" s="1">
        <v>6</v>
      </c>
      <c r="I193" s="1">
        <v>5851</v>
      </c>
      <c r="J193" s="1">
        <v>6428</v>
      </c>
      <c r="K193" s="1">
        <v>4002</v>
      </c>
      <c r="L193" s="1">
        <v>110.524</v>
      </c>
      <c r="M193" s="1">
        <v>1.214</v>
      </c>
      <c r="N193" s="1">
        <v>0.22700000000000001</v>
      </c>
      <c r="O193" s="1">
        <v>2.0052E-3</v>
      </c>
      <c r="P193" s="1">
        <v>0</v>
      </c>
    </row>
    <row r="194" spans="1:16">
      <c r="A194" s="1" t="s">
        <v>70</v>
      </c>
      <c r="B194" s="1" t="s">
        <v>106</v>
      </c>
      <c r="C194" s="1">
        <v>65</v>
      </c>
      <c r="D194" s="1" t="s">
        <v>107</v>
      </c>
      <c r="E194" s="1"/>
      <c r="F194" s="1"/>
      <c r="G194" s="1"/>
      <c r="H194" s="1">
        <v>4</v>
      </c>
      <c r="I194" s="1">
        <v>7789</v>
      </c>
      <c r="J194" s="1">
        <v>8680</v>
      </c>
      <c r="K194" s="1">
        <v>5219</v>
      </c>
      <c r="L194" s="1">
        <v>92.287999999999997</v>
      </c>
      <c r="M194" s="1">
        <v>1.0369999999999999</v>
      </c>
      <c r="N194" s="1">
        <v>0.187</v>
      </c>
      <c r="O194" s="1">
        <v>1.9764000000000001E-3</v>
      </c>
      <c r="P194" s="1">
        <v>-14.374000000000001</v>
      </c>
    </row>
    <row r="195" spans="1:16">
      <c r="A195" s="1" t="s">
        <v>70</v>
      </c>
      <c r="B195" s="1" t="s">
        <v>106</v>
      </c>
      <c r="C195" s="1">
        <v>65</v>
      </c>
      <c r="D195" s="1" t="s">
        <v>107</v>
      </c>
      <c r="E195" s="1"/>
      <c r="F195" s="1"/>
      <c r="G195" s="1"/>
      <c r="H195" s="1">
        <v>5</v>
      </c>
      <c r="I195" s="1">
        <v>5827</v>
      </c>
      <c r="J195" s="1">
        <v>6401</v>
      </c>
      <c r="K195" s="1">
        <v>3986</v>
      </c>
      <c r="L195" s="1">
        <v>109.83199999999999</v>
      </c>
      <c r="M195" s="1">
        <v>1.2070000000000001</v>
      </c>
      <c r="N195" s="1">
        <v>0.22500000000000001</v>
      </c>
      <c r="O195" s="1">
        <v>2.0052999999999998E-3</v>
      </c>
      <c r="P195" s="1">
        <v>3.4000000000000002E-2</v>
      </c>
    </row>
    <row r="196" spans="1:16">
      <c r="A196" s="1" t="s">
        <v>70</v>
      </c>
      <c r="B196" s="1" t="s">
        <v>106</v>
      </c>
      <c r="C196" s="1">
        <v>65</v>
      </c>
      <c r="D196" s="1" t="s">
        <v>107</v>
      </c>
      <c r="E196" s="1"/>
      <c r="F196" s="1"/>
      <c r="G196" s="1"/>
      <c r="H196" s="1">
        <v>6</v>
      </c>
      <c r="I196" s="1">
        <v>5824</v>
      </c>
      <c r="J196" s="1">
        <v>6399</v>
      </c>
      <c r="K196" s="1">
        <v>3985</v>
      </c>
      <c r="L196" s="1">
        <v>110.29600000000001</v>
      </c>
      <c r="M196" s="1">
        <v>1.212</v>
      </c>
      <c r="N196" s="1">
        <v>0.22600000000000001</v>
      </c>
      <c r="O196" s="1">
        <v>2.0052E-3</v>
      </c>
      <c r="P196" s="1">
        <v>0</v>
      </c>
    </row>
    <row r="197" spans="1:16">
      <c r="A197" s="1" t="s">
        <v>70</v>
      </c>
      <c r="B197" s="1" t="s">
        <v>108</v>
      </c>
      <c r="C197" s="1">
        <v>66</v>
      </c>
      <c r="D197" s="1" t="s">
        <v>107</v>
      </c>
      <c r="E197" s="1"/>
      <c r="F197" s="1"/>
      <c r="G197" s="1"/>
      <c r="H197" s="1">
        <v>4</v>
      </c>
      <c r="I197" s="1">
        <v>5179</v>
      </c>
      <c r="J197" s="1">
        <v>5775</v>
      </c>
      <c r="K197" s="1">
        <v>3474</v>
      </c>
      <c r="L197" s="1">
        <v>59.076000000000001</v>
      </c>
      <c r="M197" s="1">
        <v>0.66400000000000003</v>
      </c>
      <c r="N197" s="1">
        <v>0.12</v>
      </c>
      <c r="O197" s="1">
        <v>1.9769000000000002E-3</v>
      </c>
      <c r="P197" s="1">
        <v>-14.118</v>
      </c>
    </row>
    <row r="198" spans="1:16">
      <c r="A198" s="1" t="s">
        <v>70</v>
      </c>
      <c r="B198" s="1" t="s">
        <v>108</v>
      </c>
      <c r="C198" s="1">
        <v>66</v>
      </c>
      <c r="D198" s="1" t="s">
        <v>107</v>
      </c>
      <c r="E198" s="1"/>
      <c r="F198" s="1"/>
      <c r="G198" s="1"/>
      <c r="H198" s="1">
        <v>5</v>
      </c>
      <c r="I198" s="1">
        <v>5833</v>
      </c>
      <c r="J198" s="1">
        <v>6408</v>
      </c>
      <c r="K198" s="1">
        <v>3989</v>
      </c>
      <c r="L198" s="1">
        <v>109.27</v>
      </c>
      <c r="M198" s="1">
        <v>1.2</v>
      </c>
      <c r="N198" s="1">
        <v>0.224</v>
      </c>
      <c r="O198" s="1">
        <v>2.0052999999999998E-3</v>
      </c>
      <c r="P198" s="1">
        <v>6.2E-2</v>
      </c>
    </row>
    <row r="199" spans="1:16">
      <c r="A199" s="1" t="s">
        <v>70</v>
      </c>
      <c r="B199" s="1" t="s">
        <v>108</v>
      </c>
      <c r="C199" s="1">
        <v>66</v>
      </c>
      <c r="D199" s="1" t="s">
        <v>107</v>
      </c>
      <c r="E199" s="1"/>
      <c r="F199" s="1"/>
      <c r="G199" s="1"/>
      <c r="H199" s="1">
        <v>6</v>
      </c>
      <c r="I199" s="1">
        <v>5836</v>
      </c>
      <c r="J199" s="1">
        <v>6412</v>
      </c>
      <c r="K199" s="1">
        <v>3993</v>
      </c>
      <c r="L199" s="1">
        <v>110.371</v>
      </c>
      <c r="M199" s="1">
        <v>1.2130000000000001</v>
      </c>
      <c r="N199" s="1">
        <v>0.22700000000000001</v>
      </c>
      <c r="O199" s="1">
        <v>2.0052E-3</v>
      </c>
      <c r="P199" s="1">
        <v>0</v>
      </c>
    </row>
    <row r="200" spans="1:16">
      <c r="A200" s="1" t="s">
        <v>70</v>
      </c>
      <c r="B200" s="1" t="s">
        <v>109</v>
      </c>
      <c r="C200" s="1">
        <v>67</v>
      </c>
      <c r="D200" s="1" t="s">
        <v>110</v>
      </c>
      <c r="E200" s="1"/>
      <c r="F200" s="1"/>
      <c r="G200" s="1"/>
      <c r="H200" s="1">
        <v>4</v>
      </c>
      <c r="I200" s="1">
        <v>4942</v>
      </c>
      <c r="J200" s="1">
        <v>5513</v>
      </c>
      <c r="K200" s="1">
        <v>3322</v>
      </c>
      <c r="L200" s="1">
        <v>55.912999999999997</v>
      </c>
      <c r="M200" s="1">
        <v>0.628</v>
      </c>
      <c r="N200" s="1">
        <v>0.113</v>
      </c>
      <c r="O200" s="1">
        <v>1.9807000000000002E-3</v>
      </c>
      <c r="P200" s="1">
        <v>-12.234999999999999</v>
      </c>
    </row>
    <row r="201" spans="1:16">
      <c r="A201" s="1" t="s">
        <v>70</v>
      </c>
      <c r="B201" s="1" t="s">
        <v>109</v>
      </c>
      <c r="C201" s="1">
        <v>67</v>
      </c>
      <c r="D201" s="1" t="s">
        <v>110</v>
      </c>
      <c r="E201" s="1"/>
      <c r="F201" s="1"/>
      <c r="G201" s="1"/>
      <c r="H201" s="1">
        <v>5</v>
      </c>
      <c r="I201" s="1">
        <v>5837</v>
      </c>
      <c r="J201" s="1">
        <v>6413</v>
      </c>
      <c r="K201" s="1">
        <v>3993</v>
      </c>
      <c r="L201" s="1">
        <v>109.872</v>
      </c>
      <c r="M201" s="1">
        <v>1.2070000000000001</v>
      </c>
      <c r="N201" s="1">
        <v>0.22600000000000001</v>
      </c>
      <c r="O201" s="1">
        <v>2.0054000000000001E-3</v>
      </c>
      <c r="P201" s="1">
        <v>0.112</v>
      </c>
    </row>
    <row r="202" spans="1:16">
      <c r="A202" s="1" t="s">
        <v>70</v>
      </c>
      <c r="B202" s="1" t="s">
        <v>109</v>
      </c>
      <c r="C202" s="1">
        <v>67</v>
      </c>
      <c r="D202" s="1" t="s">
        <v>110</v>
      </c>
      <c r="E202" s="1"/>
      <c r="F202" s="1"/>
      <c r="G202" s="1"/>
      <c r="H202" s="1">
        <v>6</v>
      </c>
      <c r="I202" s="1">
        <v>5846</v>
      </c>
      <c r="J202" s="1">
        <v>6422</v>
      </c>
      <c r="K202" s="1">
        <v>4000</v>
      </c>
      <c r="L202" s="1">
        <v>110.52200000000001</v>
      </c>
      <c r="M202" s="1">
        <v>1.214</v>
      </c>
      <c r="N202" s="1">
        <v>0.22700000000000001</v>
      </c>
      <c r="O202" s="1">
        <v>2.0052E-3</v>
      </c>
      <c r="P202" s="1">
        <v>0</v>
      </c>
    </row>
    <row r="203" spans="1:16">
      <c r="A203" s="1" t="s">
        <v>70</v>
      </c>
      <c r="B203" s="1" t="s">
        <v>111</v>
      </c>
      <c r="C203" s="1">
        <v>68</v>
      </c>
      <c r="D203" s="1" t="s">
        <v>110</v>
      </c>
      <c r="E203" s="1"/>
      <c r="F203" s="1"/>
      <c r="G203" s="1"/>
      <c r="H203" s="1">
        <v>4</v>
      </c>
      <c r="I203" s="1">
        <v>4896</v>
      </c>
      <c r="J203" s="1">
        <v>5461</v>
      </c>
      <c r="K203" s="1">
        <v>3291</v>
      </c>
      <c r="L203" s="1">
        <v>55.691000000000003</v>
      </c>
      <c r="M203" s="1">
        <v>0.626</v>
      </c>
      <c r="N203" s="1">
        <v>0.113</v>
      </c>
      <c r="O203" s="1">
        <v>1.9805999999999999E-3</v>
      </c>
      <c r="P203" s="1">
        <v>-12.269</v>
      </c>
    </row>
    <row r="204" spans="1:16">
      <c r="A204" s="1" t="s">
        <v>70</v>
      </c>
      <c r="B204" s="1" t="s">
        <v>111</v>
      </c>
      <c r="C204" s="1">
        <v>68</v>
      </c>
      <c r="D204" s="1" t="s">
        <v>110</v>
      </c>
      <c r="E204" s="1"/>
      <c r="F204" s="1"/>
      <c r="G204" s="1"/>
      <c r="H204" s="1">
        <v>5</v>
      </c>
      <c r="I204" s="1">
        <v>5822</v>
      </c>
      <c r="J204" s="1">
        <v>6396</v>
      </c>
      <c r="K204" s="1">
        <v>3983</v>
      </c>
      <c r="L204" s="1">
        <v>109.608</v>
      </c>
      <c r="M204" s="1">
        <v>1.204</v>
      </c>
      <c r="N204" s="1">
        <v>0.22500000000000001</v>
      </c>
      <c r="O204" s="1">
        <v>2.0056000000000002E-3</v>
      </c>
      <c r="P204" s="1">
        <v>0.182</v>
      </c>
    </row>
    <row r="205" spans="1:16">
      <c r="A205" s="1" t="s">
        <v>70</v>
      </c>
      <c r="B205" s="1" t="s">
        <v>111</v>
      </c>
      <c r="C205" s="1">
        <v>68</v>
      </c>
      <c r="D205" s="1" t="s">
        <v>110</v>
      </c>
      <c r="E205" s="1"/>
      <c r="F205" s="1"/>
      <c r="G205" s="1"/>
      <c r="H205" s="1">
        <v>6</v>
      </c>
      <c r="I205" s="1">
        <v>5828</v>
      </c>
      <c r="J205" s="1">
        <v>6403</v>
      </c>
      <c r="K205" s="1">
        <v>3987</v>
      </c>
      <c r="L205" s="1">
        <v>110.182</v>
      </c>
      <c r="M205" s="1">
        <v>1.21</v>
      </c>
      <c r="N205" s="1">
        <v>0.22600000000000001</v>
      </c>
      <c r="O205" s="1">
        <v>2.0052E-3</v>
      </c>
      <c r="P205" s="1">
        <v>0</v>
      </c>
    </row>
    <row r="206" spans="1:16">
      <c r="A206" s="1" t="s">
        <v>70</v>
      </c>
      <c r="B206" s="1" t="s">
        <v>112</v>
      </c>
      <c r="C206" s="1">
        <v>69</v>
      </c>
      <c r="D206" s="1" t="s">
        <v>113</v>
      </c>
      <c r="E206" s="1"/>
      <c r="F206" s="1"/>
      <c r="G206" s="1"/>
      <c r="H206" s="1">
        <v>4</v>
      </c>
      <c r="I206" s="1">
        <v>5030</v>
      </c>
      <c r="J206" s="1">
        <v>5611</v>
      </c>
      <c r="K206" s="1">
        <v>3398</v>
      </c>
      <c r="L206" s="1">
        <v>57.155999999999999</v>
      </c>
      <c r="M206" s="1">
        <v>0.64200000000000002</v>
      </c>
      <c r="N206" s="1">
        <v>0.11600000000000001</v>
      </c>
      <c r="O206" s="1">
        <v>1.9903999999999998E-3</v>
      </c>
      <c r="P206" s="1">
        <v>-7.3840000000000003</v>
      </c>
    </row>
    <row r="207" spans="1:16">
      <c r="A207" s="1" t="s">
        <v>70</v>
      </c>
      <c r="B207" s="1" t="s">
        <v>112</v>
      </c>
      <c r="C207" s="1">
        <v>69</v>
      </c>
      <c r="D207" s="1" t="s">
        <v>113</v>
      </c>
      <c r="E207" s="1"/>
      <c r="F207" s="1"/>
      <c r="G207" s="1"/>
      <c r="H207" s="1">
        <v>5</v>
      </c>
      <c r="I207" s="1">
        <v>5847</v>
      </c>
      <c r="J207" s="1">
        <v>6423</v>
      </c>
      <c r="K207" s="1">
        <v>3999</v>
      </c>
      <c r="L207" s="1">
        <v>109.985</v>
      </c>
      <c r="M207" s="1">
        <v>1.208</v>
      </c>
      <c r="N207" s="1">
        <v>0.22600000000000001</v>
      </c>
      <c r="O207" s="1">
        <v>2.0054999999999999E-3</v>
      </c>
      <c r="P207" s="1">
        <v>0.152</v>
      </c>
    </row>
    <row r="208" spans="1:16">
      <c r="A208" s="1" t="s">
        <v>70</v>
      </c>
      <c r="B208" s="1" t="s">
        <v>112</v>
      </c>
      <c r="C208" s="1">
        <v>69</v>
      </c>
      <c r="D208" s="1" t="s">
        <v>113</v>
      </c>
      <c r="E208" s="1"/>
      <c r="F208" s="1"/>
      <c r="G208" s="1"/>
      <c r="H208" s="1">
        <v>6</v>
      </c>
      <c r="I208" s="1">
        <v>5837</v>
      </c>
      <c r="J208" s="1">
        <v>6412</v>
      </c>
      <c r="K208" s="1">
        <v>3993</v>
      </c>
      <c r="L208" s="1">
        <v>110.325</v>
      </c>
      <c r="M208" s="1">
        <v>1.212</v>
      </c>
      <c r="N208" s="1">
        <v>0.22600000000000001</v>
      </c>
      <c r="O208" s="1">
        <v>2.0052E-3</v>
      </c>
      <c r="P208" s="1">
        <v>0</v>
      </c>
    </row>
    <row r="209" spans="1:16">
      <c r="A209" s="1" t="s">
        <v>70</v>
      </c>
      <c r="B209" s="1" t="s">
        <v>114</v>
      </c>
      <c r="C209" s="1">
        <v>70</v>
      </c>
      <c r="D209" s="1" t="s">
        <v>113</v>
      </c>
      <c r="E209" s="1"/>
      <c r="F209" s="1"/>
      <c r="G209" s="1"/>
      <c r="H209" s="1">
        <v>4</v>
      </c>
      <c r="I209" s="1">
        <v>4984</v>
      </c>
      <c r="J209" s="1">
        <v>5559</v>
      </c>
      <c r="K209" s="1">
        <v>3367</v>
      </c>
      <c r="L209" s="1">
        <v>56.546999999999997</v>
      </c>
      <c r="M209" s="1">
        <v>0.63500000000000001</v>
      </c>
      <c r="N209" s="1">
        <v>0.115</v>
      </c>
      <c r="O209" s="1">
        <v>1.9903E-3</v>
      </c>
      <c r="P209" s="1">
        <v>-7.4169999999999998</v>
      </c>
    </row>
    <row r="210" spans="1:16">
      <c r="A210" s="1" t="s">
        <v>70</v>
      </c>
      <c r="B210" s="1" t="s">
        <v>114</v>
      </c>
      <c r="C210" s="1">
        <v>70</v>
      </c>
      <c r="D210" s="1" t="s">
        <v>113</v>
      </c>
      <c r="E210" s="1"/>
      <c r="F210" s="1"/>
      <c r="G210" s="1"/>
      <c r="H210" s="1">
        <v>5</v>
      </c>
      <c r="I210" s="1">
        <v>5826</v>
      </c>
      <c r="J210" s="1">
        <v>6401</v>
      </c>
      <c r="K210" s="1">
        <v>3985</v>
      </c>
      <c r="L210" s="1">
        <v>109.745</v>
      </c>
      <c r="M210" s="1">
        <v>1.206</v>
      </c>
      <c r="N210" s="1">
        <v>0.22500000000000001</v>
      </c>
      <c r="O210" s="1">
        <v>2.0054000000000001E-3</v>
      </c>
      <c r="P210" s="1">
        <v>0.11899999999999999</v>
      </c>
    </row>
    <row r="211" spans="1:16">
      <c r="A211" s="1" t="s">
        <v>70</v>
      </c>
      <c r="B211" s="1" t="s">
        <v>114</v>
      </c>
      <c r="C211" s="1">
        <v>70</v>
      </c>
      <c r="D211" s="1" t="s">
        <v>113</v>
      </c>
      <c r="E211" s="1"/>
      <c r="F211" s="1"/>
      <c r="G211" s="1"/>
      <c r="H211" s="1">
        <v>6</v>
      </c>
      <c r="I211" s="1">
        <v>5825</v>
      </c>
      <c r="J211" s="1">
        <v>6399</v>
      </c>
      <c r="K211" s="1">
        <v>3986</v>
      </c>
      <c r="L211" s="1">
        <v>110.202</v>
      </c>
      <c r="M211" s="1">
        <v>1.2110000000000001</v>
      </c>
      <c r="N211" s="1">
        <v>0.22600000000000001</v>
      </c>
      <c r="O211" s="1">
        <v>2.0052E-3</v>
      </c>
      <c r="P211" s="1">
        <v>0</v>
      </c>
    </row>
    <row r="212" spans="1:16">
      <c r="A212" s="1" t="s">
        <v>70</v>
      </c>
      <c r="B212" s="1" t="s">
        <v>115</v>
      </c>
      <c r="C212" s="1">
        <v>71</v>
      </c>
      <c r="D212" s="1" t="s">
        <v>20</v>
      </c>
      <c r="E212" s="1"/>
      <c r="F212" s="1"/>
      <c r="G212" s="1"/>
      <c r="H212" s="1">
        <v>4</v>
      </c>
      <c r="I212" s="1">
        <v>5078</v>
      </c>
      <c r="J212" s="1">
        <v>5665</v>
      </c>
      <c r="K212" s="1">
        <v>3440</v>
      </c>
      <c r="L212" s="1">
        <v>57.892000000000003</v>
      </c>
      <c r="M212" s="1">
        <v>0.65100000000000002</v>
      </c>
      <c r="N212" s="1">
        <v>0.11799999999999999</v>
      </c>
      <c r="O212" s="1">
        <v>1.9962999999999999E-3</v>
      </c>
      <c r="P212" s="1">
        <v>-4.423</v>
      </c>
    </row>
    <row r="213" spans="1:16">
      <c r="A213" s="1" t="s">
        <v>70</v>
      </c>
      <c r="B213" s="1" t="s">
        <v>115</v>
      </c>
      <c r="C213" s="1">
        <v>71</v>
      </c>
      <c r="D213" s="1" t="s">
        <v>20</v>
      </c>
      <c r="E213" s="1"/>
      <c r="F213" s="1"/>
      <c r="G213" s="1"/>
      <c r="H213" s="1">
        <v>5</v>
      </c>
      <c r="I213" s="1">
        <v>5826</v>
      </c>
      <c r="J213" s="1">
        <v>6400</v>
      </c>
      <c r="K213" s="1">
        <v>3986</v>
      </c>
      <c r="L213" s="1">
        <v>109.809</v>
      </c>
      <c r="M213" s="1">
        <v>1.206</v>
      </c>
      <c r="N213" s="1">
        <v>0.22500000000000001</v>
      </c>
      <c r="O213" s="1">
        <v>2.0057E-3</v>
      </c>
      <c r="P213" s="1">
        <v>0.23100000000000001</v>
      </c>
    </row>
    <row r="214" spans="1:16">
      <c r="A214" s="1" t="s">
        <v>70</v>
      </c>
      <c r="B214" s="1" t="s">
        <v>115</v>
      </c>
      <c r="C214" s="1">
        <v>71</v>
      </c>
      <c r="D214" s="1" t="s">
        <v>20</v>
      </c>
      <c r="E214" s="1"/>
      <c r="F214" s="1"/>
      <c r="G214" s="1"/>
      <c r="H214" s="1">
        <v>6</v>
      </c>
      <c r="I214" s="1">
        <v>5831</v>
      </c>
      <c r="J214" s="1">
        <v>6407</v>
      </c>
      <c r="K214" s="1">
        <v>3989</v>
      </c>
      <c r="L214" s="1">
        <v>110.32599999999999</v>
      </c>
      <c r="M214" s="1">
        <v>1.212</v>
      </c>
      <c r="N214" s="1">
        <v>0.22600000000000001</v>
      </c>
      <c r="O214" s="1">
        <v>2.0052E-3</v>
      </c>
      <c r="P214" s="1">
        <v>0</v>
      </c>
    </row>
    <row r="215" spans="1:16">
      <c r="A215" s="1" t="s">
        <v>70</v>
      </c>
      <c r="B215" s="1" t="s">
        <v>116</v>
      </c>
      <c r="C215" s="1">
        <v>72</v>
      </c>
      <c r="D215" s="1" t="s">
        <v>20</v>
      </c>
      <c r="E215" s="1"/>
      <c r="F215" s="1"/>
      <c r="G215" s="1"/>
      <c r="H215" s="1">
        <v>4</v>
      </c>
      <c r="I215" s="1">
        <v>4974</v>
      </c>
      <c r="J215" s="1">
        <v>5549</v>
      </c>
      <c r="K215" s="1">
        <v>3369</v>
      </c>
      <c r="L215" s="1">
        <v>56.366999999999997</v>
      </c>
      <c r="M215" s="1">
        <v>0.63300000000000001</v>
      </c>
      <c r="N215" s="1">
        <v>0.115</v>
      </c>
      <c r="O215" s="1">
        <v>1.9959999999999999E-3</v>
      </c>
      <c r="P215" s="1">
        <v>-4.5869999999999997</v>
      </c>
    </row>
    <row r="216" spans="1:16">
      <c r="A216" s="1" t="s">
        <v>70</v>
      </c>
      <c r="B216" s="1" t="s">
        <v>116</v>
      </c>
      <c r="C216" s="1">
        <v>72</v>
      </c>
      <c r="D216" s="1" t="s">
        <v>20</v>
      </c>
      <c r="E216" s="1"/>
      <c r="F216" s="1"/>
      <c r="G216" s="1"/>
      <c r="H216" s="1">
        <v>5</v>
      </c>
      <c r="I216" s="1">
        <v>5822</v>
      </c>
      <c r="J216" s="1">
        <v>6396</v>
      </c>
      <c r="K216" s="1">
        <v>3983</v>
      </c>
      <c r="L216" s="1">
        <v>109.59</v>
      </c>
      <c r="M216" s="1">
        <v>1.204</v>
      </c>
      <c r="N216" s="1">
        <v>0.22500000000000001</v>
      </c>
      <c r="O216" s="1">
        <v>2.0054999999999999E-3</v>
      </c>
      <c r="P216" s="1">
        <v>0.16300000000000001</v>
      </c>
    </row>
    <row r="217" spans="1:16">
      <c r="A217" s="1" t="s">
        <v>70</v>
      </c>
      <c r="B217" s="1" t="s">
        <v>116</v>
      </c>
      <c r="C217" s="1">
        <v>72</v>
      </c>
      <c r="D217" s="1" t="s">
        <v>20</v>
      </c>
      <c r="E217" s="1"/>
      <c r="F217" s="1"/>
      <c r="G217" s="1"/>
      <c r="H217" s="1">
        <v>6</v>
      </c>
      <c r="I217" s="1">
        <v>5827</v>
      </c>
      <c r="J217" s="1">
        <v>6401</v>
      </c>
      <c r="K217" s="1">
        <v>3986</v>
      </c>
      <c r="L217" s="1">
        <v>110.447</v>
      </c>
      <c r="M217" s="1">
        <v>1.2130000000000001</v>
      </c>
      <c r="N217" s="1">
        <v>0.22700000000000001</v>
      </c>
      <c r="O217" s="1">
        <v>2.0052E-3</v>
      </c>
      <c r="P217" s="1">
        <v>0</v>
      </c>
    </row>
    <row r="218" spans="1:16">
      <c r="A218" s="1" t="s">
        <v>70</v>
      </c>
      <c r="B218" s="1" t="s">
        <v>117</v>
      </c>
      <c r="C218" s="1">
        <v>73</v>
      </c>
      <c r="D218" s="1" t="s">
        <v>118</v>
      </c>
      <c r="E218" s="1"/>
      <c r="F218" s="1"/>
      <c r="G218" s="1"/>
      <c r="H218" s="1">
        <v>4</v>
      </c>
      <c r="I218" s="1">
        <v>5033</v>
      </c>
      <c r="J218" s="1">
        <v>5615</v>
      </c>
      <c r="K218" s="1">
        <v>3416</v>
      </c>
      <c r="L218" s="1">
        <v>57.527000000000001</v>
      </c>
      <c r="M218" s="1">
        <v>0.64700000000000002</v>
      </c>
      <c r="N218" s="1">
        <v>0.11799999999999999</v>
      </c>
      <c r="O218" s="1">
        <v>2.0000999999999999E-3</v>
      </c>
      <c r="P218" s="1">
        <v>-2.5449999999999999</v>
      </c>
    </row>
    <row r="219" spans="1:16">
      <c r="A219" s="1" t="s">
        <v>70</v>
      </c>
      <c r="B219" s="1" t="s">
        <v>117</v>
      </c>
      <c r="C219" s="1">
        <v>73</v>
      </c>
      <c r="D219" s="1" t="s">
        <v>118</v>
      </c>
      <c r="E219" s="1"/>
      <c r="F219" s="1"/>
      <c r="G219" s="1"/>
      <c r="H219" s="1">
        <v>5</v>
      </c>
      <c r="I219" s="1">
        <v>5826</v>
      </c>
      <c r="J219" s="1">
        <v>6400</v>
      </c>
      <c r="K219" s="1">
        <v>3984</v>
      </c>
      <c r="L219" s="1">
        <v>109.774</v>
      </c>
      <c r="M219" s="1">
        <v>1.206</v>
      </c>
      <c r="N219" s="1">
        <v>0.22500000000000001</v>
      </c>
      <c r="O219" s="1">
        <v>2.0054000000000001E-3</v>
      </c>
      <c r="P219" s="1">
        <v>0.11</v>
      </c>
    </row>
    <row r="220" spans="1:16">
      <c r="A220" s="1" t="s">
        <v>70</v>
      </c>
      <c r="B220" s="1" t="s">
        <v>117</v>
      </c>
      <c r="C220" s="1">
        <v>73</v>
      </c>
      <c r="D220" s="1" t="s">
        <v>118</v>
      </c>
      <c r="E220" s="1"/>
      <c r="F220" s="1"/>
      <c r="G220" s="1"/>
      <c r="H220" s="1">
        <v>6</v>
      </c>
      <c r="I220" s="1">
        <v>5825</v>
      </c>
      <c r="J220" s="1">
        <v>6400</v>
      </c>
      <c r="K220" s="1">
        <v>3984</v>
      </c>
      <c r="L220" s="1">
        <v>110.31699999999999</v>
      </c>
      <c r="M220" s="1">
        <v>1.212</v>
      </c>
      <c r="N220" s="1">
        <v>0.22600000000000001</v>
      </c>
      <c r="O220" s="1">
        <v>2.0052E-3</v>
      </c>
      <c r="P220" s="1">
        <v>0</v>
      </c>
    </row>
    <row r="221" spans="1:16">
      <c r="A221" s="1" t="s">
        <v>70</v>
      </c>
      <c r="B221" s="1" t="s">
        <v>119</v>
      </c>
      <c r="C221" s="1">
        <v>74</v>
      </c>
      <c r="D221" s="1" t="s">
        <v>118</v>
      </c>
      <c r="E221" s="1"/>
      <c r="F221" s="1"/>
      <c r="G221" s="1"/>
      <c r="H221" s="1">
        <v>4</v>
      </c>
      <c r="I221" s="1">
        <v>4923</v>
      </c>
      <c r="J221" s="1">
        <v>5492</v>
      </c>
      <c r="K221" s="1">
        <v>3340</v>
      </c>
      <c r="L221" s="1">
        <v>56.091999999999999</v>
      </c>
      <c r="M221" s="1">
        <v>0.63</v>
      </c>
      <c r="N221" s="1">
        <v>0.115</v>
      </c>
      <c r="O221" s="1">
        <v>1.9995E-3</v>
      </c>
      <c r="P221" s="1">
        <v>-2.8380000000000001</v>
      </c>
    </row>
    <row r="222" spans="1:16">
      <c r="A222" s="1" t="s">
        <v>70</v>
      </c>
      <c r="B222" s="1" t="s">
        <v>119</v>
      </c>
      <c r="C222" s="1">
        <v>74</v>
      </c>
      <c r="D222" s="1" t="s">
        <v>118</v>
      </c>
      <c r="E222" s="1"/>
      <c r="F222" s="1"/>
      <c r="G222" s="1"/>
      <c r="H222" s="1">
        <v>5</v>
      </c>
      <c r="I222" s="1">
        <v>5841</v>
      </c>
      <c r="J222" s="1">
        <v>6417</v>
      </c>
      <c r="K222" s="1">
        <v>3996</v>
      </c>
      <c r="L222" s="1">
        <v>110.096</v>
      </c>
      <c r="M222" s="1">
        <v>1.2090000000000001</v>
      </c>
      <c r="N222" s="1">
        <v>0.22600000000000001</v>
      </c>
      <c r="O222" s="1">
        <v>2.0054999999999999E-3</v>
      </c>
      <c r="P222" s="1">
        <v>0.13100000000000001</v>
      </c>
    </row>
    <row r="223" spans="1:16">
      <c r="A223" s="1" t="s">
        <v>70</v>
      </c>
      <c r="B223" s="1" t="s">
        <v>119</v>
      </c>
      <c r="C223" s="1">
        <v>74</v>
      </c>
      <c r="D223" s="1" t="s">
        <v>118</v>
      </c>
      <c r="E223" s="1"/>
      <c r="F223" s="1"/>
      <c r="G223" s="1"/>
      <c r="H223" s="1">
        <v>6</v>
      </c>
      <c r="I223" s="1">
        <v>5834</v>
      </c>
      <c r="J223" s="1">
        <v>6409</v>
      </c>
      <c r="K223" s="1">
        <v>3992</v>
      </c>
      <c r="L223" s="1">
        <v>110.81100000000001</v>
      </c>
      <c r="M223" s="1">
        <v>1.2170000000000001</v>
      </c>
      <c r="N223" s="1">
        <v>0.22700000000000001</v>
      </c>
      <c r="O223" s="1">
        <v>2.0052E-3</v>
      </c>
      <c r="P223" s="1">
        <v>0</v>
      </c>
    </row>
    <row r="224" spans="1:16">
      <c r="A224" s="1" t="s">
        <v>70</v>
      </c>
      <c r="B224" s="1" t="s">
        <v>122</v>
      </c>
      <c r="C224" s="1">
        <v>76</v>
      </c>
      <c r="D224" s="1" t="s">
        <v>121</v>
      </c>
      <c r="E224" s="1"/>
      <c r="F224" s="1"/>
      <c r="G224" s="1"/>
      <c r="H224" s="1">
        <v>4</v>
      </c>
      <c r="I224" s="1">
        <v>4928</v>
      </c>
      <c r="J224" s="1">
        <v>5497</v>
      </c>
      <c r="K224" s="1">
        <v>3355</v>
      </c>
      <c r="L224" s="1">
        <v>55.871000000000002</v>
      </c>
      <c r="M224" s="1">
        <v>0.628</v>
      </c>
      <c r="N224" s="1">
        <v>0.115</v>
      </c>
      <c r="O224" s="1">
        <v>2.0056000000000002E-3</v>
      </c>
      <c r="P224" s="1">
        <v>0.19900000000000001</v>
      </c>
    </row>
    <row r="225" spans="1:16">
      <c r="A225" s="1" t="s">
        <v>70</v>
      </c>
      <c r="B225" s="1" t="s">
        <v>122</v>
      </c>
      <c r="C225" s="1">
        <v>76</v>
      </c>
      <c r="D225" s="1" t="s">
        <v>121</v>
      </c>
      <c r="E225" s="1"/>
      <c r="F225" s="1"/>
      <c r="G225" s="1"/>
      <c r="H225" s="1">
        <v>5</v>
      </c>
      <c r="I225" s="1">
        <v>5829</v>
      </c>
      <c r="J225" s="1">
        <v>6404</v>
      </c>
      <c r="K225" s="1">
        <v>3988</v>
      </c>
      <c r="L225" s="1">
        <v>109.407</v>
      </c>
      <c r="M225" s="1">
        <v>1.202</v>
      </c>
      <c r="N225" s="1">
        <v>0.22500000000000001</v>
      </c>
      <c r="O225" s="1">
        <v>2.0054000000000001E-3</v>
      </c>
      <c r="P225" s="1">
        <v>0.11</v>
      </c>
    </row>
    <row r="226" spans="1:16">
      <c r="A226" s="1" t="s">
        <v>70</v>
      </c>
      <c r="B226" s="1" t="s">
        <v>122</v>
      </c>
      <c r="C226" s="1">
        <v>76</v>
      </c>
      <c r="D226" s="1" t="s">
        <v>121</v>
      </c>
      <c r="E226" s="1"/>
      <c r="F226" s="1"/>
      <c r="G226" s="1"/>
      <c r="H226" s="1">
        <v>6</v>
      </c>
      <c r="I226" s="1">
        <v>5832</v>
      </c>
      <c r="J226" s="1">
        <v>6407</v>
      </c>
      <c r="K226" s="1">
        <v>3989</v>
      </c>
      <c r="L226" s="1">
        <v>110.389</v>
      </c>
      <c r="M226" s="1">
        <v>1.2130000000000001</v>
      </c>
      <c r="N226" s="1">
        <v>0.22700000000000001</v>
      </c>
      <c r="O226" s="1">
        <v>2.0052E-3</v>
      </c>
      <c r="P226" s="1">
        <v>0</v>
      </c>
    </row>
    <row r="227" spans="1:16">
      <c r="A227" s="1" t="s">
        <v>70</v>
      </c>
      <c r="B227" s="1" t="s">
        <v>123</v>
      </c>
      <c r="C227" s="1">
        <v>77</v>
      </c>
      <c r="D227" s="1" t="s">
        <v>124</v>
      </c>
      <c r="E227" s="1"/>
      <c r="F227" s="1"/>
      <c r="G227" s="1"/>
      <c r="H227" s="1">
        <v>4</v>
      </c>
      <c r="I227" s="1">
        <v>5037</v>
      </c>
      <c r="J227" s="1">
        <v>5619</v>
      </c>
      <c r="K227" s="1">
        <v>3438</v>
      </c>
      <c r="L227" s="1">
        <v>56.567</v>
      </c>
      <c r="M227" s="1">
        <v>0.63600000000000001</v>
      </c>
      <c r="N227" s="1">
        <v>0.11600000000000001</v>
      </c>
      <c r="O227" s="1">
        <v>2.0113000000000002E-3</v>
      </c>
      <c r="P227" s="1">
        <v>3.0579999999999998</v>
      </c>
    </row>
    <row r="228" spans="1:16">
      <c r="A228" s="1" t="s">
        <v>70</v>
      </c>
      <c r="B228" s="1" t="s">
        <v>123</v>
      </c>
      <c r="C228" s="1">
        <v>77</v>
      </c>
      <c r="D228" s="1" t="s">
        <v>124</v>
      </c>
      <c r="E228" s="1"/>
      <c r="F228" s="1"/>
      <c r="G228" s="1"/>
      <c r="H228" s="1">
        <v>5</v>
      </c>
      <c r="I228" s="1">
        <v>5829</v>
      </c>
      <c r="J228" s="1">
        <v>6404</v>
      </c>
      <c r="K228" s="1">
        <v>3988</v>
      </c>
      <c r="L228" s="1">
        <v>109.54900000000001</v>
      </c>
      <c r="M228" s="1">
        <v>1.204</v>
      </c>
      <c r="N228" s="1">
        <v>0.22500000000000001</v>
      </c>
      <c r="O228" s="1">
        <v>2.0054000000000001E-3</v>
      </c>
      <c r="P228" s="1">
        <v>0.1</v>
      </c>
    </row>
    <row r="229" spans="1:16">
      <c r="A229" s="1" t="s">
        <v>70</v>
      </c>
      <c r="B229" s="1" t="s">
        <v>123</v>
      </c>
      <c r="C229" s="1">
        <v>77</v>
      </c>
      <c r="D229" s="1" t="s">
        <v>124</v>
      </c>
      <c r="E229" s="1"/>
      <c r="F229" s="1"/>
      <c r="G229" s="1"/>
      <c r="H229" s="1">
        <v>6</v>
      </c>
      <c r="I229" s="1">
        <v>5832</v>
      </c>
      <c r="J229" s="1">
        <v>6406</v>
      </c>
      <c r="K229" s="1">
        <v>3989</v>
      </c>
      <c r="L229" s="1">
        <v>110.348</v>
      </c>
      <c r="M229" s="1">
        <v>1.212</v>
      </c>
      <c r="N229" s="1">
        <v>0.22700000000000001</v>
      </c>
      <c r="O229" s="1">
        <v>2.0052E-3</v>
      </c>
      <c r="P229" s="1">
        <v>0</v>
      </c>
    </row>
    <row r="230" spans="1:16">
      <c r="A230" s="1" t="s">
        <v>70</v>
      </c>
      <c r="B230" s="1" t="s">
        <v>125</v>
      </c>
      <c r="C230" s="1">
        <v>78</v>
      </c>
      <c r="D230" s="1" t="s">
        <v>124</v>
      </c>
      <c r="E230" s="1"/>
      <c r="F230" s="1"/>
      <c r="G230" s="1"/>
      <c r="H230" s="1">
        <v>4</v>
      </c>
      <c r="I230" s="1">
        <v>4940</v>
      </c>
      <c r="J230" s="1">
        <v>5512</v>
      </c>
      <c r="K230" s="1">
        <v>3374</v>
      </c>
      <c r="L230" s="1">
        <v>56.207000000000001</v>
      </c>
      <c r="M230" s="1">
        <v>0.63200000000000001</v>
      </c>
      <c r="N230" s="1">
        <v>0.11600000000000001</v>
      </c>
      <c r="O230" s="1">
        <v>2.0116000000000001E-3</v>
      </c>
      <c r="P230" s="1">
        <v>3.202</v>
      </c>
    </row>
    <row r="231" spans="1:16">
      <c r="A231" s="1" t="s">
        <v>70</v>
      </c>
      <c r="B231" s="1" t="s">
        <v>125</v>
      </c>
      <c r="C231" s="1">
        <v>78</v>
      </c>
      <c r="D231" s="1" t="s">
        <v>124</v>
      </c>
      <c r="E231" s="1"/>
      <c r="F231" s="1"/>
      <c r="G231" s="1"/>
      <c r="H231" s="1">
        <v>5</v>
      </c>
      <c r="I231" s="1">
        <v>5827</v>
      </c>
      <c r="J231" s="1">
        <v>6402</v>
      </c>
      <c r="K231" s="1">
        <v>3986</v>
      </c>
      <c r="L231" s="1">
        <v>109.5</v>
      </c>
      <c r="M231" s="1">
        <v>1.2030000000000001</v>
      </c>
      <c r="N231" s="1">
        <v>0.22500000000000001</v>
      </c>
      <c r="O231" s="1">
        <v>2.0054999999999999E-3</v>
      </c>
      <c r="P231" s="1">
        <v>0.17399999999999999</v>
      </c>
    </row>
    <row r="232" spans="1:16">
      <c r="A232" s="1" t="s">
        <v>70</v>
      </c>
      <c r="B232" s="1" t="s">
        <v>125</v>
      </c>
      <c r="C232" s="1">
        <v>78</v>
      </c>
      <c r="D232" s="1" t="s">
        <v>124</v>
      </c>
      <c r="E232" s="1"/>
      <c r="F232" s="1"/>
      <c r="G232" s="1"/>
      <c r="H232" s="1">
        <v>6</v>
      </c>
      <c r="I232" s="1">
        <v>5823</v>
      </c>
      <c r="J232" s="1">
        <v>6397</v>
      </c>
      <c r="K232" s="1">
        <v>3982</v>
      </c>
      <c r="L232" s="1">
        <v>109.717</v>
      </c>
      <c r="M232" s="1">
        <v>1.2050000000000001</v>
      </c>
      <c r="N232" s="1">
        <v>0.22500000000000001</v>
      </c>
      <c r="O232" s="1">
        <v>2.0052E-3</v>
      </c>
      <c r="P232" s="1">
        <v>0</v>
      </c>
    </row>
    <row r="233" spans="1:16">
      <c r="A233" s="1" t="s">
        <v>70</v>
      </c>
      <c r="B233" s="1" t="s">
        <v>126</v>
      </c>
      <c r="C233" s="1">
        <v>79</v>
      </c>
      <c r="D233" s="1" t="s">
        <v>127</v>
      </c>
      <c r="E233" s="1"/>
      <c r="F233" s="1"/>
      <c r="G233" s="1"/>
      <c r="H233" s="1">
        <v>4</v>
      </c>
      <c r="I233" s="1">
        <v>5067</v>
      </c>
      <c r="J233" s="1">
        <v>5652</v>
      </c>
      <c r="K233" s="1">
        <v>3444</v>
      </c>
      <c r="L233" s="1">
        <v>57.152000000000001</v>
      </c>
      <c r="M233" s="1">
        <v>0.64200000000000002</v>
      </c>
      <c r="N233" s="1">
        <v>0.11700000000000001</v>
      </c>
      <c r="O233" s="1">
        <v>2.0026000000000002E-3</v>
      </c>
      <c r="P233" s="1">
        <v>-1.319</v>
      </c>
    </row>
    <row r="234" spans="1:16">
      <c r="A234" s="1" t="s">
        <v>70</v>
      </c>
      <c r="B234" s="1" t="s">
        <v>126</v>
      </c>
      <c r="C234" s="1">
        <v>79</v>
      </c>
      <c r="D234" s="1" t="s">
        <v>127</v>
      </c>
      <c r="E234" s="1"/>
      <c r="F234" s="1"/>
      <c r="G234" s="1"/>
      <c r="H234" s="1">
        <v>5</v>
      </c>
      <c r="I234" s="1">
        <v>5838</v>
      </c>
      <c r="J234" s="1">
        <v>6413</v>
      </c>
      <c r="K234" s="1">
        <v>3994</v>
      </c>
      <c r="L234" s="1">
        <v>109.977</v>
      </c>
      <c r="M234" s="1">
        <v>1.208</v>
      </c>
      <c r="N234" s="1">
        <v>0.22600000000000001</v>
      </c>
      <c r="O234" s="1">
        <v>2.0054000000000001E-3</v>
      </c>
      <c r="P234" s="1">
        <v>0.10199999999999999</v>
      </c>
    </row>
    <row r="235" spans="1:16">
      <c r="A235" s="1" t="s">
        <v>70</v>
      </c>
      <c r="B235" s="1" t="s">
        <v>126</v>
      </c>
      <c r="C235" s="1">
        <v>79</v>
      </c>
      <c r="D235" s="1" t="s">
        <v>127</v>
      </c>
      <c r="E235" s="1"/>
      <c r="F235" s="1"/>
      <c r="G235" s="1"/>
      <c r="H235" s="1">
        <v>6</v>
      </c>
      <c r="I235" s="1">
        <v>5828</v>
      </c>
      <c r="J235" s="1">
        <v>6403</v>
      </c>
      <c r="K235" s="1">
        <v>3987</v>
      </c>
      <c r="L235" s="1">
        <v>110.267</v>
      </c>
      <c r="M235" s="1">
        <v>1.2110000000000001</v>
      </c>
      <c r="N235" s="1">
        <v>0.22600000000000001</v>
      </c>
      <c r="O235" s="1">
        <v>2.0052E-3</v>
      </c>
      <c r="P235" s="1">
        <v>0</v>
      </c>
    </row>
    <row r="236" spans="1:16">
      <c r="A236" s="1" t="s">
        <v>70</v>
      </c>
      <c r="B236" s="1" t="s">
        <v>128</v>
      </c>
      <c r="C236" s="1">
        <v>80</v>
      </c>
      <c r="D236" s="1" t="s">
        <v>127</v>
      </c>
      <c r="E236" s="1"/>
      <c r="F236" s="1"/>
      <c r="G236" s="1"/>
      <c r="H236" s="1">
        <v>4</v>
      </c>
      <c r="I236" s="1">
        <v>5050</v>
      </c>
      <c r="J236" s="1">
        <v>5634</v>
      </c>
      <c r="K236" s="1">
        <v>3433</v>
      </c>
      <c r="L236" s="1">
        <v>57.534999999999997</v>
      </c>
      <c r="M236" s="1">
        <v>0.64700000000000002</v>
      </c>
      <c r="N236" s="1">
        <v>0.11799999999999999</v>
      </c>
      <c r="O236" s="1">
        <v>2.0037000000000002E-3</v>
      </c>
      <c r="P236" s="1">
        <v>-0.76400000000000001</v>
      </c>
    </row>
    <row r="237" spans="1:16">
      <c r="A237" s="1" t="s">
        <v>70</v>
      </c>
      <c r="B237" s="1" t="s">
        <v>128</v>
      </c>
      <c r="C237" s="1">
        <v>80</v>
      </c>
      <c r="D237" s="1" t="s">
        <v>127</v>
      </c>
      <c r="E237" s="1"/>
      <c r="F237" s="1"/>
      <c r="G237" s="1"/>
      <c r="H237" s="1">
        <v>5</v>
      </c>
      <c r="I237" s="1">
        <v>5816</v>
      </c>
      <c r="J237" s="1">
        <v>6389</v>
      </c>
      <c r="K237" s="1">
        <v>3979</v>
      </c>
      <c r="L237" s="1">
        <v>109.521</v>
      </c>
      <c r="M237" s="1">
        <v>1.2030000000000001</v>
      </c>
      <c r="N237" s="1">
        <v>0.22500000000000001</v>
      </c>
      <c r="O237" s="1">
        <v>2.0054999999999999E-3</v>
      </c>
      <c r="P237" s="1">
        <v>0.17399999999999999</v>
      </c>
    </row>
    <row r="238" spans="1:16">
      <c r="A238" s="1" t="s">
        <v>70</v>
      </c>
      <c r="B238" s="1" t="s">
        <v>128</v>
      </c>
      <c r="C238" s="1">
        <v>80</v>
      </c>
      <c r="D238" s="1" t="s">
        <v>127</v>
      </c>
      <c r="E238" s="1"/>
      <c r="F238" s="1"/>
      <c r="G238" s="1"/>
      <c r="H238" s="1">
        <v>6</v>
      </c>
      <c r="I238" s="1">
        <v>5818</v>
      </c>
      <c r="J238" s="1">
        <v>6392</v>
      </c>
      <c r="K238" s="1">
        <v>3978</v>
      </c>
      <c r="L238" s="1">
        <v>110.044</v>
      </c>
      <c r="M238" s="1">
        <v>1.2090000000000001</v>
      </c>
      <c r="N238" s="1">
        <v>0.22600000000000001</v>
      </c>
      <c r="O238" s="1">
        <v>2.0052E-3</v>
      </c>
      <c r="P238" s="1">
        <v>0</v>
      </c>
    </row>
    <row r="239" spans="1:16">
      <c r="A239" s="1" t="s">
        <v>70</v>
      </c>
      <c r="B239" s="1" t="s">
        <v>129</v>
      </c>
      <c r="C239" s="1">
        <v>81</v>
      </c>
      <c r="D239" s="1" t="s">
        <v>130</v>
      </c>
      <c r="E239" s="1"/>
      <c r="F239" s="1"/>
      <c r="G239" s="1"/>
      <c r="H239" s="1">
        <v>4</v>
      </c>
      <c r="I239" s="1">
        <v>5092</v>
      </c>
      <c r="J239" s="1">
        <v>5680</v>
      </c>
      <c r="K239" s="1">
        <v>3455</v>
      </c>
      <c r="L239" s="1">
        <v>58.149000000000001</v>
      </c>
      <c r="M239" s="1">
        <v>0.65400000000000003</v>
      </c>
      <c r="N239" s="1">
        <v>0.11899999999999999</v>
      </c>
      <c r="O239" s="1">
        <v>1.9997000000000001E-3</v>
      </c>
      <c r="P239" s="1">
        <v>-2.7530000000000001</v>
      </c>
    </row>
    <row r="240" spans="1:16">
      <c r="A240" s="1" t="s">
        <v>70</v>
      </c>
      <c r="B240" s="1" t="s">
        <v>129</v>
      </c>
      <c r="C240" s="1">
        <v>81</v>
      </c>
      <c r="D240" s="1" t="s">
        <v>130</v>
      </c>
      <c r="E240" s="1"/>
      <c r="F240" s="1"/>
      <c r="G240" s="1"/>
      <c r="H240" s="1">
        <v>5</v>
      </c>
      <c r="I240" s="1">
        <v>5826</v>
      </c>
      <c r="J240" s="1">
        <v>6401</v>
      </c>
      <c r="K240" s="1">
        <v>3986</v>
      </c>
      <c r="L240" s="1">
        <v>109.75</v>
      </c>
      <c r="M240" s="1">
        <v>1.206</v>
      </c>
      <c r="N240" s="1">
        <v>0.22500000000000001</v>
      </c>
      <c r="O240" s="1">
        <v>2.0054000000000001E-3</v>
      </c>
      <c r="P240" s="1">
        <v>0.124</v>
      </c>
    </row>
    <row r="241" spans="1:16">
      <c r="A241" s="1" t="s">
        <v>70</v>
      </c>
      <c r="B241" s="1" t="s">
        <v>129</v>
      </c>
      <c r="C241" s="1">
        <v>81</v>
      </c>
      <c r="D241" s="1" t="s">
        <v>130</v>
      </c>
      <c r="E241" s="1"/>
      <c r="F241" s="1"/>
      <c r="G241" s="1"/>
      <c r="H241" s="1">
        <v>6</v>
      </c>
      <c r="I241" s="1">
        <v>5825</v>
      </c>
      <c r="J241" s="1">
        <v>6399</v>
      </c>
      <c r="K241" s="1">
        <v>3985</v>
      </c>
      <c r="L241" s="1">
        <v>110.277</v>
      </c>
      <c r="M241" s="1">
        <v>1.2110000000000001</v>
      </c>
      <c r="N241" s="1">
        <v>0.22600000000000001</v>
      </c>
      <c r="O241" s="1">
        <v>2.0052E-3</v>
      </c>
      <c r="P241" s="1">
        <v>0</v>
      </c>
    </row>
    <row r="242" spans="1:16">
      <c r="A242" s="1" t="s">
        <v>70</v>
      </c>
      <c r="B242" s="1" t="s">
        <v>131</v>
      </c>
      <c r="C242" s="1">
        <v>82</v>
      </c>
      <c r="D242" s="1" t="s">
        <v>130</v>
      </c>
      <c r="E242" s="1"/>
      <c r="F242" s="1"/>
      <c r="G242" s="1"/>
      <c r="H242" s="1">
        <v>4</v>
      </c>
      <c r="I242" s="1">
        <v>5055</v>
      </c>
      <c r="J242" s="1">
        <v>5639</v>
      </c>
      <c r="K242" s="1">
        <v>3429</v>
      </c>
      <c r="L242" s="1">
        <v>56.972999999999999</v>
      </c>
      <c r="M242" s="1">
        <v>0.64</v>
      </c>
      <c r="N242" s="1">
        <v>0.11700000000000001</v>
      </c>
      <c r="O242" s="1">
        <v>1.9986000000000001E-3</v>
      </c>
      <c r="P242" s="1">
        <v>-3.2890000000000001</v>
      </c>
    </row>
    <row r="243" spans="1:16">
      <c r="A243" s="1" t="s">
        <v>70</v>
      </c>
      <c r="B243" s="1" t="s">
        <v>131</v>
      </c>
      <c r="C243" s="1">
        <v>82</v>
      </c>
      <c r="D243" s="1" t="s">
        <v>130</v>
      </c>
      <c r="E243" s="1"/>
      <c r="F243" s="1"/>
      <c r="G243" s="1"/>
      <c r="H243" s="1">
        <v>5</v>
      </c>
      <c r="I243" s="1">
        <v>5818</v>
      </c>
      <c r="J243" s="1">
        <v>6391</v>
      </c>
      <c r="K243" s="1">
        <v>3980</v>
      </c>
      <c r="L243" s="1">
        <v>109.66200000000001</v>
      </c>
      <c r="M243" s="1">
        <v>1.2050000000000001</v>
      </c>
      <c r="N243" s="1">
        <v>0.22500000000000001</v>
      </c>
      <c r="O243" s="1">
        <v>2.0054000000000001E-3</v>
      </c>
      <c r="P243" s="1">
        <v>0.12</v>
      </c>
    </row>
    <row r="244" spans="1:16">
      <c r="A244" s="1" t="s">
        <v>70</v>
      </c>
      <c r="B244" s="1" t="s">
        <v>131</v>
      </c>
      <c r="C244" s="1">
        <v>82</v>
      </c>
      <c r="D244" s="1" t="s">
        <v>130</v>
      </c>
      <c r="E244" s="1"/>
      <c r="F244" s="1"/>
      <c r="G244" s="1"/>
      <c r="H244" s="1">
        <v>6</v>
      </c>
      <c r="I244" s="1">
        <v>5823</v>
      </c>
      <c r="J244" s="1">
        <v>6397</v>
      </c>
      <c r="K244" s="1">
        <v>3983</v>
      </c>
      <c r="L244" s="1">
        <v>110.288</v>
      </c>
      <c r="M244" s="1">
        <v>1.212</v>
      </c>
      <c r="N244" s="1">
        <v>0.22600000000000001</v>
      </c>
      <c r="O244" s="1">
        <v>2.0052E-3</v>
      </c>
      <c r="P244" s="1">
        <v>0</v>
      </c>
    </row>
    <row r="245" spans="1:16">
      <c r="A245" s="1" t="s">
        <v>70</v>
      </c>
      <c r="B245" s="1" t="s">
        <v>132</v>
      </c>
      <c r="C245" s="1">
        <v>83</v>
      </c>
      <c r="D245" s="1" t="s">
        <v>20</v>
      </c>
      <c r="E245" s="1"/>
      <c r="F245" s="1"/>
      <c r="G245" s="1"/>
      <c r="H245" s="1">
        <v>4</v>
      </c>
      <c r="I245" s="1">
        <v>4988</v>
      </c>
      <c r="J245" s="1">
        <v>5563</v>
      </c>
      <c r="K245" s="1">
        <v>3379</v>
      </c>
      <c r="L245" s="1">
        <v>55.917999999999999</v>
      </c>
      <c r="M245" s="1">
        <v>0.628</v>
      </c>
      <c r="N245" s="1">
        <v>0.114</v>
      </c>
      <c r="O245" s="1">
        <v>1.9959000000000001E-3</v>
      </c>
      <c r="P245" s="1">
        <v>-4.641</v>
      </c>
    </row>
    <row r="246" spans="1:16">
      <c r="A246" s="1" t="s">
        <v>70</v>
      </c>
      <c r="B246" s="1" t="s">
        <v>132</v>
      </c>
      <c r="C246" s="1">
        <v>83</v>
      </c>
      <c r="D246" s="1" t="s">
        <v>20</v>
      </c>
      <c r="E246" s="1"/>
      <c r="F246" s="1"/>
      <c r="G246" s="1"/>
      <c r="H246" s="1">
        <v>5</v>
      </c>
      <c r="I246" s="1">
        <v>5827</v>
      </c>
      <c r="J246" s="1">
        <v>6402</v>
      </c>
      <c r="K246" s="1">
        <v>3986</v>
      </c>
      <c r="L246" s="1">
        <v>109.423</v>
      </c>
      <c r="M246" s="1">
        <v>1.202</v>
      </c>
      <c r="N246" s="1">
        <v>0.22500000000000001</v>
      </c>
      <c r="O246" s="1">
        <v>2.0054000000000001E-3</v>
      </c>
      <c r="P246" s="1">
        <v>0.11799999999999999</v>
      </c>
    </row>
    <row r="247" spans="1:16">
      <c r="A247" s="1" t="s">
        <v>70</v>
      </c>
      <c r="B247" s="1" t="s">
        <v>132</v>
      </c>
      <c r="C247" s="1">
        <v>83</v>
      </c>
      <c r="D247" s="1" t="s">
        <v>20</v>
      </c>
      <c r="E247" s="1"/>
      <c r="F247" s="1"/>
      <c r="G247" s="1"/>
      <c r="H247" s="1">
        <v>6</v>
      </c>
      <c r="I247" s="1">
        <v>5819</v>
      </c>
      <c r="J247" s="1">
        <v>6392</v>
      </c>
      <c r="K247" s="1">
        <v>3979</v>
      </c>
      <c r="L247" s="1">
        <v>110.245</v>
      </c>
      <c r="M247" s="1">
        <v>1.2110000000000001</v>
      </c>
      <c r="N247" s="1">
        <v>0.22600000000000001</v>
      </c>
      <c r="O247" s="1">
        <v>2.0052E-3</v>
      </c>
      <c r="P247" s="1">
        <v>0</v>
      </c>
    </row>
    <row r="248" spans="1:16">
      <c r="A248" s="1" t="s">
        <v>70</v>
      </c>
      <c r="B248" s="1" t="s">
        <v>133</v>
      </c>
      <c r="C248" s="1">
        <v>84</v>
      </c>
      <c r="D248" s="1" t="s">
        <v>20</v>
      </c>
      <c r="E248" s="1"/>
      <c r="F248" s="1"/>
      <c r="G248" s="1"/>
      <c r="H248" s="1">
        <v>4</v>
      </c>
      <c r="I248" s="1">
        <v>5113</v>
      </c>
      <c r="J248" s="1">
        <v>5703</v>
      </c>
      <c r="K248" s="1">
        <v>3463</v>
      </c>
      <c r="L248" s="1">
        <v>57.615000000000002</v>
      </c>
      <c r="M248" s="1">
        <v>0.64700000000000002</v>
      </c>
      <c r="N248" s="1">
        <v>0.11799999999999999</v>
      </c>
      <c r="O248" s="1">
        <v>1.9962000000000001E-3</v>
      </c>
      <c r="P248" s="1">
        <v>-4.5</v>
      </c>
    </row>
    <row r="249" spans="1:16">
      <c r="A249" s="1" t="s">
        <v>70</v>
      </c>
      <c r="B249" s="1" t="s">
        <v>133</v>
      </c>
      <c r="C249" s="1">
        <v>84</v>
      </c>
      <c r="D249" s="1" t="s">
        <v>20</v>
      </c>
      <c r="E249" s="1"/>
      <c r="F249" s="1"/>
      <c r="G249" s="1"/>
      <c r="H249" s="1">
        <v>5</v>
      </c>
      <c r="I249" s="1">
        <v>5835</v>
      </c>
      <c r="J249" s="1">
        <v>6410</v>
      </c>
      <c r="K249" s="1">
        <v>3992</v>
      </c>
      <c r="L249" s="1">
        <v>109.887</v>
      </c>
      <c r="M249" s="1">
        <v>1.2070000000000001</v>
      </c>
      <c r="N249" s="1">
        <v>0.22600000000000001</v>
      </c>
      <c r="O249" s="1">
        <v>2.0054999999999999E-3</v>
      </c>
      <c r="P249" s="1">
        <v>0.156</v>
      </c>
    </row>
    <row r="250" spans="1:16">
      <c r="A250" s="1" t="s">
        <v>70</v>
      </c>
      <c r="B250" s="1" t="s">
        <v>133</v>
      </c>
      <c r="C250" s="1">
        <v>84</v>
      </c>
      <c r="D250" s="1" t="s">
        <v>20</v>
      </c>
      <c r="E250" s="1"/>
      <c r="F250" s="1"/>
      <c r="G250" s="1"/>
      <c r="H250" s="1">
        <v>6</v>
      </c>
      <c r="I250" s="1">
        <v>5832</v>
      </c>
      <c r="J250" s="1">
        <v>6407</v>
      </c>
      <c r="K250" s="1">
        <v>3989</v>
      </c>
      <c r="L250" s="1">
        <v>110.383</v>
      </c>
      <c r="M250" s="1">
        <v>1.2130000000000001</v>
      </c>
      <c r="N250" s="1">
        <v>0.22700000000000001</v>
      </c>
      <c r="O250" s="1">
        <v>2.0052E-3</v>
      </c>
      <c r="P250" s="1">
        <v>0</v>
      </c>
    </row>
    <row r="251" spans="1:16">
      <c r="A251" s="1" t="s">
        <v>70</v>
      </c>
      <c r="B251" s="1" t="s">
        <v>134</v>
      </c>
      <c r="C251" s="1">
        <v>85</v>
      </c>
      <c r="D251" s="1" t="s">
        <v>135</v>
      </c>
      <c r="E251" s="1"/>
      <c r="F251" s="1"/>
      <c r="G251" s="1"/>
      <c r="H251" s="1">
        <v>4</v>
      </c>
      <c r="I251" s="1">
        <v>5131</v>
      </c>
      <c r="J251" s="1">
        <v>5723</v>
      </c>
      <c r="K251" s="1">
        <v>3469</v>
      </c>
      <c r="L251" s="1">
        <v>57.713000000000001</v>
      </c>
      <c r="M251" s="1">
        <v>0.64900000000000002</v>
      </c>
      <c r="N251" s="1">
        <v>0.11799999999999999</v>
      </c>
      <c r="O251" s="1">
        <v>1.9924000000000001E-3</v>
      </c>
      <c r="P251" s="1">
        <v>-6.375</v>
      </c>
    </row>
    <row r="252" spans="1:16">
      <c r="A252" s="1" t="s">
        <v>70</v>
      </c>
      <c r="B252" s="1" t="s">
        <v>134</v>
      </c>
      <c r="C252" s="1">
        <v>85</v>
      </c>
      <c r="D252" s="1" t="s">
        <v>135</v>
      </c>
      <c r="E252" s="1"/>
      <c r="F252" s="1"/>
      <c r="G252" s="1"/>
      <c r="H252" s="1">
        <v>5</v>
      </c>
      <c r="I252" s="1">
        <v>5823</v>
      </c>
      <c r="J252" s="1">
        <v>6397</v>
      </c>
      <c r="K252" s="1">
        <v>3983</v>
      </c>
      <c r="L252" s="1">
        <v>109.88500000000001</v>
      </c>
      <c r="M252" s="1">
        <v>1.2070000000000001</v>
      </c>
      <c r="N252" s="1">
        <v>0.22600000000000001</v>
      </c>
      <c r="O252" s="1">
        <v>2.0054000000000001E-3</v>
      </c>
      <c r="P252" s="1">
        <v>8.5000000000000006E-2</v>
      </c>
    </row>
    <row r="253" spans="1:16">
      <c r="A253" s="1" t="s">
        <v>70</v>
      </c>
      <c r="B253" s="1" t="s">
        <v>134</v>
      </c>
      <c r="C253" s="1">
        <v>85</v>
      </c>
      <c r="D253" s="1" t="s">
        <v>135</v>
      </c>
      <c r="E253" s="1"/>
      <c r="F253" s="1"/>
      <c r="G253" s="1"/>
      <c r="H253" s="1">
        <v>6</v>
      </c>
      <c r="I253" s="1">
        <v>5823</v>
      </c>
      <c r="J253" s="1">
        <v>6397</v>
      </c>
      <c r="K253" s="1">
        <v>3982</v>
      </c>
      <c r="L253" s="1">
        <v>110.16800000000001</v>
      </c>
      <c r="M253" s="1">
        <v>1.21</v>
      </c>
      <c r="N253" s="1">
        <v>0.22600000000000001</v>
      </c>
      <c r="O253" s="1">
        <v>2.0052E-3</v>
      </c>
      <c r="P253" s="1">
        <v>0</v>
      </c>
    </row>
    <row r="254" spans="1:16">
      <c r="A254" s="1" t="s">
        <v>70</v>
      </c>
      <c r="B254" s="1" t="s">
        <v>136</v>
      </c>
      <c r="C254" s="1">
        <v>86</v>
      </c>
      <c r="D254" s="1" t="s">
        <v>135</v>
      </c>
      <c r="E254" s="1"/>
      <c r="F254" s="1"/>
      <c r="G254" s="1"/>
      <c r="H254" s="1">
        <v>4</v>
      </c>
      <c r="I254" s="1">
        <v>5294</v>
      </c>
      <c r="J254" s="1">
        <v>5905</v>
      </c>
      <c r="K254" s="1">
        <v>3579</v>
      </c>
      <c r="L254" s="1">
        <v>60.994</v>
      </c>
      <c r="M254" s="1">
        <v>0.68600000000000005</v>
      </c>
      <c r="N254" s="1">
        <v>0.124</v>
      </c>
      <c r="O254" s="1">
        <v>1.9938999999999998E-3</v>
      </c>
      <c r="P254" s="1">
        <v>-5.6429999999999998</v>
      </c>
    </row>
    <row r="255" spans="1:16">
      <c r="A255" s="1" t="s">
        <v>70</v>
      </c>
      <c r="B255" s="1" t="s">
        <v>136</v>
      </c>
      <c r="C255" s="1">
        <v>86</v>
      </c>
      <c r="D255" s="1" t="s">
        <v>135</v>
      </c>
      <c r="E255" s="1"/>
      <c r="F255" s="1"/>
      <c r="G255" s="1"/>
      <c r="H255" s="1">
        <v>5</v>
      </c>
      <c r="I255" s="1">
        <v>5834</v>
      </c>
      <c r="J255" s="1">
        <v>6408</v>
      </c>
      <c r="K255" s="1">
        <v>3991</v>
      </c>
      <c r="L255" s="1">
        <v>109.996</v>
      </c>
      <c r="M255" s="1">
        <v>1.208</v>
      </c>
      <c r="N255" s="1">
        <v>0.22600000000000001</v>
      </c>
      <c r="O255" s="1">
        <v>2.0056000000000002E-3</v>
      </c>
      <c r="P255" s="1">
        <v>0.17899999999999999</v>
      </c>
    </row>
    <row r="256" spans="1:16">
      <c r="A256" s="1" t="s">
        <v>70</v>
      </c>
      <c r="B256" s="1" t="s">
        <v>136</v>
      </c>
      <c r="C256" s="1">
        <v>86</v>
      </c>
      <c r="D256" s="1" t="s">
        <v>135</v>
      </c>
      <c r="E256" s="1"/>
      <c r="F256" s="1"/>
      <c r="G256" s="1"/>
      <c r="H256" s="1">
        <v>6</v>
      </c>
      <c r="I256" s="1">
        <v>5836</v>
      </c>
      <c r="J256" s="1">
        <v>6410</v>
      </c>
      <c r="K256" s="1">
        <v>3991</v>
      </c>
      <c r="L256" s="1">
        <v>110.40300000000001</v>
      </c>
      <c r="M256" s="1">
        <v>1.2130000000000001</v>
      </c>
      <c r="N256" s="1">
        <v>0.22700000000000001</v>
      </c>
      <c r="O256" s="1">
        <v>2.0052E-3</v>
      </c>
      <c r="P256" s="1">
        <v>0</v>
      </c>
    </row>
    <row r="257" spans="1:16">
      <c r="A257" s="1" t="s">
        <v>70</v>
      </c>
      <c r="B257" s="1" t="s">
        <v>137</v>
      </c>
      <c r="C257" s="1">
        <v>87</v>
      </c>
      <c r="D257" s="1" t="s">
        <v>138</v>
      </c>
      <c r="E257" s="1"/>
      <c r="F257" s="1"/>
      <c r="G257" s="1"/>
      <c r="H257" s="1">
        <v>4</v>
      </c>
      <c r="I257" s="1">
        <v>4867</v>
      </c>
      <c r="J257" s="1">
        <v>5430</v>
      </c>
      <c r="K257" s="1">
        <v>3298</v>
      </c>
      <c r="L257" s="1">
        <v>55.3</v>
      </c>
      <c r="M257" s="1">
        <v>0.621</v>
      </c>
      <c r="N257" s="1">
        <v>0.113</v>
      </c>
      <c r="O257" s="1">
        <v>1.9962999999999999E-3</v>
      </c>
      <c r="P257" s="1">
        <v>-4.4370000000000003</v>
      </c>
    </row>
    <row r="258" spans="1:16">
      <c r="A258" s="1" t="s">
        <v>70</v>
      </c>
      <c r="B258" s="1" t="s">
        <v>137</v>
      </c>
      <c r="C258" s="1">
        <v>87</v>
      </c>
      <c r="D258" s="1" t="s">
        <v>138</v>
      </c>
      <c r="E258" s="1"/>
      <c r="F258" s="1"/>
      <c r="G258" s="1"/>
      <c r="H258" s="1">
        <v>5</v>
      </c>
      <c r="I258" s="1">
        <v>5850</v>
      </c>
      <c r="J258" s="1">
        <v>6427</v>
      </c>
      <c r="K258" s="1">
        <v>4001</v>
      </c>
      <c r="L258" s="1">
        <v>109.846</v>
      </c>
      <c r="M258" s="1">
        <v>1.2070000000000001</v>
      </c>
      <c r="N258" s="1">
        <v>0.22600000000000001</v>
      </c>
      <c r="O258" s="1">
        <v>2.0056000000000002E-3</v>
      </c>
      <c r="P258" s="1">
        <v>0.19900000000000001</v>
      </c>
    </row>
    <row r="259" spans="1:16">
      <c r="A259" s="1" t="s">
        <v>70</v>
      </c>
      <c r="B259" s="1" t="s">
        <v>137</v>
      </c>
      <c r="C259" s="1">
        <v>87</v>
      </c>
      <c r="D259" s="1" t="s">
        <v>138</v>
      </c>
      <c r="E259" s="1"/>
      <c r="F259" s="1"/>
      <c r="G259" s="1"/>
      <c r="H259" s="1">
        <v>6</v>
      </c>
      <c r="I259" s="1">
        <v>5839</v>
      </c>
      <c r="J259" s="1">
        <v>6414</v>
      </c>
      <c r="K259" s="1">
        <v>3994</v>
      </c>
      <c r="L259" s="1">
        <v>110.444</v>
      </c>
      <c r="M259" s="1">
        <v>1.2130000000000001</v>
      </c>
      <c r="N259" s="1">
        <v>0.22700000000000001</v>
      </c>
      <c r="O259" s="1">
        <v>2.0052E-3</v>
      </c>
      <c r="P259" s="1">
        <v>0</v>
      </c>
    </row>
    <row r="260" spans="1:16">
      <c r="A260" s="1" t="s">
        <v>70</v>
      </c>
      <c r="B260" s="1" t="s">
        <v>139</v>
      </c>
      <c r="C260" s="1">
        <v>88</v>
      </c>
      <c r="D260" s="1" t="s">
        <v>138</v>
      </c>
      <c r="E260" s="1"/>
      <c r="F260" s="1"/>
      <c r="G260" s="1"/>
      <c r="H260" s="1">
        <v>4</v>
      </c>
      <c r="I260" s="1">
        <v>4873</v>
      </c>
      <c r="J260" s="1">
        <v>5437</v>
      </c>
      <c r="K260" s="1">
        <v>3302</v>
      </c>
      <c r="L260" s="1">
        <v>55.735999999999997</v>
      </c>
      <c r="M260" s="1">
        <v>0.626</v>
      </c>
      <c r="N260" s="1">
        <v>0.114</v>
      </c>
      <c r="O260" s="1">
        <v>1.9970000000000001E-3</v>
      </c>
      <c r="P260" s="1">
        <v>-4.085</v>
      </c>
    </row>
    <row r="261" spans="1:16">
      <c r="A261" s="1" t="s">
        <v>70</v>
      </c>
      <c r="B261" s="1" t="s">
        <v>139</v>
      </c>
      <c r="C261" s="1">
        <v>88</v>
      </c>
      <c r="D261" s="1" t="s">
        <v>138</v>
      </c>
      <c r="E261" s="1"/>
      <c r="F261" s="1"/>
      <c r="G261" s="1"/>
      <c r="H261" s="1">
        <v>5</v>
      </c>
      <c r="I261" s="1">
        <v>5822</v>
      </c>
      <c r="J261" s="1">
        <v>6397</v>
      </c>
      <c r="K261" s="1">
        <v>3983</v>
      </c>
      <c r="L261" s="1">
        <v>109.706</v>
      </c>
      <c r="M261" s="1">
        <v>1.2050000000000001</v>
      </c>
      <c r="N261" s="1">
        <v>0.22500000000000001</v>
      </c>
      <c r="O261" s="1">
        <v>2.0054000000000001E-3</v>
      </c>
      <c r="P261" s="1">
        <v>0.09</v>
      </c>
    </row>
    <row r="262" spans="1:16">
      <c r="A262" s="1" t="s">
        <v>70</v>
      </c>
      <c r="B262" s="1" t="s">
        <v>139</v>
      </c>
      <c r="C262" s="1">
        <v>88</v>
      </c>
      <c r="D262" s="1" t="s">
        <v>138</v>
      </c>
      <c r="E262" s="1"/>
      <c r="F262" s="1"/>
      <c r="G262" s="1"/>
      <c r="H262" s="1">
        <v>6</v>
      </c>
      <c r="I262" s="1">
        <v>5824</v>
      </c>
      <c r="J262" s="1">
        <v>6398</v>
      </c>
      <c r="K262" s="1">
        <v>3985</v>
      </c>
      <c r="L262" s="1">
        <v>110.325</v>
      </c>
      <c r="M262" s="1">
        <v>1.212</v>
      </c>
      <c r="N262" s="1">
        <v>0.22600000000000001</v>
      </c>
      <c r="O262" s="1">
        <v>2.0052E-3</v>
      </c>
      <c r="P262" s="1">
        <v>0</v>
      </c>
    </row>
    <row r="263" spans="1:16">
      <c r="A263" s="1" t="s">
        <v>70</v>
      </c>
      <c r="B263" s="1" t="s">
        <v>140</v>
      </c>
      <c r="C263" s="1">
        <v>89</v>
      </c>
      <c r="D263" s="1" t="s">
        <v>141</v>
      </c>
      <c r="E263" s="1"/>
      <c r="F263" s="1"/>
      <c r="G263" s="1"/>
      <c r="H263" s="1">
        <v>4</v>
      </c>
      <c r="I263" s="1">
        <v>5026</v>
      </c>
      <c r="J263" s="1">
        <v>5605</v>
      </c>
      <c r="K263" s="1">
        <v>3382</v>
      </c>
      <c r="L263" s="1">
        <v>56.639000000000003</v>
      </c>
      <c r="M263" s="1">
        <v>0.63600000000000001</v>
      </c>
      <c r="N263" s="1">
        <v>0.115</v>
      </c>
      <c r="O263" s="1">
        <v>1.9827999999999998E-3</v>
      </c>
      <c r="P263" s="1">
        <v>-11.15</v>
      </c>
    </row>
    <row r="264" spans="1:16">
      <c r="A264" s="1" t="s">
        <v>70</v>
      </c>
      <c r="B264" s="1" t="s">
        <v>140</v>
      </c>
      <c r="C264" s="1">
        <v>89</v>
      </c>
      <c r="D264" s="1" t="s">
        <v>141</v>
      </c>
      <c r="E264" s="1"/>
      <c r="F264" s="1"/>
      <c r="G264" s="1"/>
      <c r="H264" s="1">
        <v>5</v>
      </c>
      <c r="I264" s="1">
        <v>5833</v>
      </c>
      <c r="J264" s="1">
        <v>6408</v>
      </c>
      <c r="K264" s="1">
        <v>3991</v>
      </c>
      <c r="L264" s="1">
        <v>109.753</v>
      </c>
      <c r="M264" s="1">
        <v>1.206</v>
      </c>
      <c r="N264" s="1">
        <v>0.22500000000000001</v>
      </c>
      <c r="O264" s="1">
        <v>2.0054000000000001E-3</v>
      </c>
      <c r="P264" s="1">
        <v>0.122</v>
      </c>
    </row>
    <row r="265" spans="1:16">
      <c r="A265" s="1" t="s">
        <v>70</v>
      </c>
      <c r="B265" s="1" t="s">
        <v>140</v>
      </c>
      <c r="C265" s="1">
        <v>89</v>
      </c>
      <c r="D265" s="1" t="s">
        <v>141</v>
      </c>
      <c r="E265" s="1"/>
      <c r="F265" s="1"/>
      <c r="G265" s="1"/>
      <c r="H265" s="1">
        <v>6</v>
      </c>
      <c r="I265" s="1">
        <v>5828</v>
      </c>
      <c r="J265" s="1">
        <v>6402</v>
      </c>
      <c r="K265" s="1">
        <v>3987</v>
      </c>
      <c r="L265" s="1">
        <v>110.128</v>
      </c>
      <c r="M265" s="1">
        <v>1.21</v>
      </c>
      <c r="N265" s="1">
        <v>0.22600000000000001</v>
      </c>
      <c r="O265" s="1">
        <v>2.0052E-3</v>
      </c>
      <c r="P265" s="1">
        <v>0</v>
      </c>
    </row>
    <row r="266" spans="1:16">
      <c r="A266" s="1" t="s">
        <v>70</v>
      </c>
      <c r="B266" s="1" t="s">
        <v>142</v>
      </c>
      <c r="C266" s="1">
        <v>90</v>
      </c>
      <c r="D266" s="1" t="s">
        <v>141</v>
      </c>
      <c r="E266" s="1"/>
      <c r="F266" s="1"/>
      <c r="G266" s="1"/>
      <c r="H266" s="1">
        <v>4</v>
      </c>
      <c r="I266" s="1">
        <v>5016</v>
      </c>
      <c r="J266" s="1">
        <v>5595</v>
      </c>
      <c r="K266" s="1">
        <v>3376</v>
      </c>
      <c r="L266" s="1">
        <v>57.122999999999998</v>
      </c>
      <c r="M266" s="1">
        <v>0.64200000000000002</v>
      </c>
      <c r="N266" s="1">
        <v>0.11600000000000001</v>
      </c>
      <c r="O266" s="1">
        <v>1.9837000000000001E-3</v>
      </c>
      <c r="P266" s="1">
        <v>-10.73</v>
      </c>
    </row>
    <row r="267" spans="1:16">
      <c r="A267" s="1" t="s">
        <v>70</v>
      </c>
      <c r="B267" s="1" t="s">
        <v>142</v>
      </c>
      <c r="C267" s="1">
        <v>90</v>
      </c>
      <c r="D267" s="1" t="s">
        <v>141</v>
      </c>
      <c r="E267" s="1"/>
      <c r="F267" s="1"/>
      <c r="G267" s="1"/>
      <c r="H267" s="1">
        <v>5</v>
      </c>
      <c r="I267" s="1">
        <v>5824</v>
      </c>
      <c r="J267" s="1">
        <v>6398</v>
      </c>
      <c r="K267" s="1">
        <v>3984</v>
      </c>
      <c r="L267" s="1">
        <v>109.6</v>
      </c>
      <c r="M267" s="1">
        <v>1.204</v>
      </c>
      <c r="N267" s="1">
        <v>0.22500000000000001</v>
      </c>
      <c r="O267" s="1">
        <v>2.0054000000000001E-3</v>
      </c>
      <c r="P267" s="1">
        <v>0.108</v>
      </c>
    </row>
    <row r="268" spans="1:16">
      <c r="A268" s="1" t="s">
        <v>70</v>
      </c>
      <c r="B268" s="1" t="s">
        <v>142</v>
      </c>
      <c r="C268" s="1">
        <v>90</v>
      </c>
      <c r="D268" s="1" t="s">
        <v>141</v>
      </c>
      <c r="E268" s="1"/>
      <c r="F268" s="1"/>
      <c r="G268" s="1"/>
      <c r="H268" s="1">
        <v>6</v>
      </c>
      <c r="I268" s="1">
        <v>5822</v>
      </c>
      <c r="J268" s="1">
        <v>6396</v>
      </c>
      <c r="K268" s="1">
        <v>3982</v>
      </c>
      <c r="L268" s="1">
        <v>110.111</v>
      </c>
      <c r="M268" s="1">
        <v>1.21</v>
      </c>
      <c r="N268" s="1">
        <v>0.22600000000000001</v>
      </c>
      <c r="O268" s="1">
        <v>2.0052E-3</v>
      </c>
      <c r="P268" s="1">
        <v>0</v>
      </c>
    </row>
    <row r="269" spans="1:16">
      <c r="A269" s="1" t="s">
        <v>70</v>
      </c>
      <c r="B269" s="1" t="s">
        <v>143</v>
      </c>
      <c r="C269" s="1">
        <v>91</v>
      </c>
      <c r="D269" s="1" t="s">
        <v>144</v>
      </c>
      <c r="E269" s="1"/>
      <c r="F269" s="1"/>
      <c r="G269" s="1"/>
      <c r="H269" s="1">
        <v>4</v>
      </c>
      <c r="I269" s="1">
        <v>4987</v>
      </c>
      <c r="J269" s="1">
        <v>5562</v>
      </c>
      <c r="K269" s="1">
        <v>3359</v>
      </c>
      <c r="L269" s="1">
        <v>57.152000000000001</v>
      </c>
      <c r="M269" s="1">
        <v>0.64200000000000002</v>
      </c>
      <c r="N269" s="1">
        <v>0.11600000000000001</v>
      </c>
      <c r="O269" s="1">
        <v>1.9851000000000001E-3</v>
      </c>
      <c r="P269" s="1">
        <v>-10.010999999999999</v>
      </c>
    </row>
    <row r="270" spans="1:16">
      <c r="A270" s="1" t="s">
        <v>70</v>
      </c>
      <c r="B270" s="1" t="s">
        <v>143</v>
      </c>
      <c r="C270" s="1">
        <v>91</v>
      </c>
      <c r="D270" s="1" t="s">
        <v>144</v>
      </c>
      <c r="E270" s="1"/>
      <c r="F270" s="1"/>
      <c r="G270" s="1"/>
      <c r="H270" s="1">
        <v>5</v>
      </c>
      <c r="I270" s="1">
        <v>5828</v>
      </c>
      <c r="J270" s="1">
        <v>6402</v>
      </c>
      <c r="K270" s="1">
        <v>3987</v>
      </c>
      <c r="L270" s="1">
        <v>109.504</v>
      </c>
      <c r="M270" s="1">
        <v>1.2030000000000001</v>
      </c>
      <c r="N270" s="1">
        <v>0.22500000000000001</v>
      </c>
      <c r="O270" s="1">
        <v>2.0052999999999998E-3</v>
      </c>
      <c r="P270" s="1">
        <v>6.3E-2</v>
      </c>
    </row>
    <row r="271" spans="1:16">
      <c r="A271" s="1" t="s">
        <v>70</v>
      </c>
      <c r="B271" s="1" t="s">
        <v>143</v>
      </c>
      <c r="C271" s="1">
        <v>91</v>
      </c>
      <c r="D271" s="1" t="s">
        <v>144</v>
      </c>
      <c r="E271" s="1"/>
      <c r="F271" s="1"/>
      <c r="G271" s="1"/>
      <c r="H271" s="1">
        <v>6</v>
      </c>
      <c r="I271" s="1">
        <v>5826</v>
      </c>
      <c r="J271" s="1">
        <v>6401</v>
      </c>
      <c r="K271" s="1">
        <v>3985</v>
      </c>
      <c r="L271" s="1">
        <v>110.313</v>
      </c>
      <c r="M271" s="1">
        <v>1.212</v>
      </c>
      <c r="N271" s="1">
        <v>0.22600000000000001</v>
      </c>
      <c r="O271" s="1">
        <v>2.0052E-3</v>
      </c>
      <c r="P271" s="1">
        <v>0</v>
      </c>
    </row>
    <row r="272" spans="1:16">
      <c r="A272" s="1" t="s">
        <v>70</v>
      </c>
      <c r="B272" s="1" t="s">
        <v>145</v>
      </c>
      <c r="C272" s="1">
        <v>92</v>
      </c>
      <c r="D272" s="1" t="s">
        <v>144</v>
      </c>
      <c r="E272" s="1"/>
      <c r="F272" s="1"/>
      <c r="G272" s="1"/>
      <c r="H272" s="1">
        <v>4</v>
      </c>
      <c r="I272" s="1">
        <v>4897</v>
      </c>
      <c r="J272" s="1">
        <v>5462</v>
      </c>
      <c r="K272" s="1">
        <v>3299</v>
      </c>
      <c r="L272" s="1">
        <v>54.978999999999999</v>
      </c>
      <c r="M272" s="1">
        <v>0.61799999999999999</v>
      </c>
      <c r="N272" s="1">
        <v>0.112</v>
      </c>
      <c r="O272" s="1">
        <v>1.9843999999999999E-3</v>
      </c>
      <c r="P272" s="1">
        <v>-10.375999999999999</v>
      </c>
    </row>
    <row r="273" spans="1:16">
      <c r="A273" s="1" t="s">
        <v>70</v>
      </c>
      <c r="B273" s="1" t="s">
        <v>145</v>
      </c>
      <c r="C273" s="1">
        <v>92</v>
      </c>
      <c r="D273" s="1" t="s">
        <v>144</v>
      </c>
      <c r="E273" s="1"/>
      <c r="F273" s="1"/>
      <c r="G273" s="1"/>
      <c r="H273" s="1">
        <v>5</v>
      </c>
      <c r="I273" s="1">
        <v>5816</v>
      </c>
      <c r="J273" s="1">
        <v>6390</v>
      </c>
      <c r="K273" s="1">
        <v>3980</v>
      </c>
      <c r="L273" s="1">
        <v>109.621</v>
      </c>
      <c r="M273" s="1">
        <v>1.204</v>
      </c>
      <c r="N273" s="1">
        <v>0.22500000000000001</v>
      </c>
      <c r="O273" s="1">
        <v>2.0054999999999999E-3</v>
      </c>
      <c r="P273" s="1">
        <v>0.16900000000000001</v>
      </c>
    </row>
    <row r="274" spans="1:16">
      <c r="A274" s="1" t="s">
        <v>70</v>
      </c>
      <c r="B274" s="1" t="s">
        <v>145</v>
      </c>
      <c r="C274" s="1">
        <v>92</v>
      </c>
      <c r="D274" s="1" t="s">
        <v>144</v>
      </c>
      <c r="E274" s="1"/>
      <c r="F274" s="1"/>
      <c r="G274" s="1"/>
      <c r="H274" s="1">
        <v>6</v>
      </c>
      <c r="I274" s="1">
        <v>5819</v>
      </c>
      <c r="J274" s="1">
        <v>6392</v>
      </c>
      <c r="K274" s="1">
        <v>3979</v>
      </c>
      <c r="L274" s="1">
        <v>110.13500000000001</v>
      </c>
      <c r="M274" s="1">
        <v>1.21</v>
      </c>
      <c r="N274" s="1">
        <v>0.22600000000000001</v>
      </c>
      <c r="O274" s="1">
        <v>2.0052E-3</v>
      </c>
      <c r="P274" s="1">
        <v>0</v>
      </c>
    </row>
    <row r="275" spans="1:16">
      <c r="A275" s="1" t="s">
        <v>70</v>
      </c>
      <c r="B275" s="1" t="s">
        <v>146</v>
      </c>
      <c r="C275" s="1">
        <v>93</v>
      </c>
      <c r="D275" s="1" t="s">
        <v>147</v>
      </c>
      <c r="E275" s="1"/>
      <c r="F275" s="1"/>
      <c r="G275" s="1"/>
      <c r="H275" s="1">
        <v>4</v>
      </c>
      <c r="I275" s="1">
        <v>4952</v>
      </c>
      <c r="J275" s="1">
        <v>5524</v>
      </c>
      <c r="K275" s="1">
        <v>3346</v>
      </c>
      <c r="L275" s="1">
        <v>56.192</v>
      </c>
      <c r="M275" s="1">
        <v>0.63200000000000001</v>
      </c>
      <c r="N275" s="1">
        <v>0.115</v>
      </c>
      <c r="O275" s="1">
        <v>1.9916999999999999E-3</v>
      </c>
      <c r="P275" s="1">
        <v>-6.7309999999999999</v>
      </c>
    </row>
    <row r="276" spans="1:16">
      <c r="A276" s="1" t="s">
        <v>70</v>
      </c>
      <c r="B276" s="1" t="s">
        <v>146</v>
      </c>
      <c r="C276" s="1">
        <v>93</v>
      </c>
      <c r="D276" s="1" t="s">
        <v>147</v>
      </c>
      <c r="E276" s="1"/>
      <c r="F276" s="1"/>
      <c r="G276" s="1"/>
      <c r="H276" s="1">
        <v>5</v>
      </c>
      <c r="I276" s="1">
        <v>5823</v>
      </c>
      <c r="J276" s="1">
        <v>6397</v>
      </c>
      <c r="K276" s="1">
        <v>3984</v>
      </c>
      <c r="L276" s="1">
        <v>109.566</v>
      </c>
      <c r="M276" s="1">
        <v>1.204</v>
      </c>
      <c r="N276" s="1">
        <v>0.22500000000000001</v>
      </c>
      <c r="O276" s="1">
        <v>2.0054000000000001E-3</v>
      </c>
      <c r="P276" s="1">
        <v>0.08</v>
      </c>
    </row>
    <row r="277" spans="1:16">
      <c r="A277" s="1" t="s">
        <v>70</v>
      </c>
      <c r="B277" s="1" t="s">
        <v>146</v>
      </c>
      <c r="C277" s="1">
        <v>93</v>
      </c>
      <c r="D277" s="1" t="s">
        <v>147</v>
      </c>
      <c r="E277" s="1"/>
      <c r="F277" s="1"/>
      <c r="G277" s="1"/>
      <c r="H277" s="1">
        <v>6</v>
      </c>
      <c r="I277" s="1">
        <v>5820</v>
      </c>
      <c r="J277" s="1">
        <v>6394</v>
      </c>
      <c r="K277" s="1">
        <v>3982</v>
      </c>
      <c r="L277" s="1">
        <v>110.221</v>
      </c>
      <c r="M277" s="1">
        <v>1.2110000000000001</v>
      </c>
      <c r="N277" s="1">
        <v>0.22600000000000001</v>
      </c>
      <c r="O277" s="1">
        <v>2.0052E-3</v>
      </c>
      <c r="P277" s="1">
        <v>0</v>
      </c>
    </row>
    <row r="278" spans="1:16">
      <c r="A278" s="1" t="s">
        <v>70</v>
      </c>
      <c r="B278" s="1" t="s">
        <v>148</v>
      </c>
      <c r="C278" s="1">
        <v>94</v>
      </c>
      <c r="D278" s="1" t="s">
        <v>147</v>
      </c>
      <c r="E278" s="1"/>
      <c r="F278" s="1"/>
      <c r="G278" s="1"/>
      <c r="H278" s="1">
        <v>4</v>
      </c>
      <c r="I278" s="1">
        <v>5023</v>
      </c>
      <c r="J278" s="1">
        <v>5603</v>
      </c>
      <c r="K278" s="1">
        <v>3395</v>
      </c>
      <c r="L278" s="1">
        <v>57.573</v>
      </c>
      <c r="M278" s="1">
        <v>0.64700000000000002</v>
      </c>
      <c r="N278" s="1">
        <v>0.11700000000000001</v>
      </c>
      <c r="O278" s="1">
        <v>1.9926000000000002E-3</v>
      </c>
      <c r="P278" s="1">
        <v>-6.3079999999999998</v>
      </c>
    </row>
    <row r="279" spans="1:16">
      <c r="A279" s="1" t="s">
        <v>70</v>
      </c>
      <c r="B279" s="1" t="s">
        <v>148</v>
      </c>
      <c r="C279" s="1">
        <v>94</v>
      </c>
      <c r="D279" s="1" t="s">
        <v>147</v>
      </c>
      <c r="E279" s="1"/>
      <c r="F279" s="1"/>
      <c r="G279" s="1"/>
      <c r="H279" s="1">
        <v>5</v>
      </c>
      <c r="I279" s="1">
        <v>5831</v>
      </c>
      <c r="J279" s="1">
        <v>6406</v>
      </c>
      <c r="K279" s="1">
        <v>3988</v>
      </c>
      <c r="L279" s="1">
        <v>109.874</v>
      </c>
      <c r="M279" s="1">
        <v>1.2070000000000001</v>
      </c>
      <c r="N279" s="1">
        <v>0.22600000000000001</v>
      </c>
      <c r="O279" s="1">
        <v>2.0054000000000001E-3</v>
      </c>
      <c r="P279" s="1">
        <v>0.111</v>
      </c>
    </row>
    <row r="280" spans="1:16">
      <c r="A280" s="1" t="s">
        <v>70</v>
      </c>
      <c r="B280" s="1" t="s">
        <v>148</v>
      </c>
      <c r="C280" s="1">
        <v>94</v>
      </c>
      <c r="D280" s="1" t="s">
        <v>147</v>
      </c>
      <c r="E280" s="1"/>
      <c r="F280" s="1"/>
      <c r="G280" s="1"/>
      <c r="H280" s="1">
        <v>6</v>
      </c>
      <c r="I280" s="1">
        <v>5828</v>
      </c>
      <c r="J280" s="1">
        <v>6402</v>
      </c>
      <c r="K280" s="1">
        <v>3986</v>
      </c>
      <c r="L280" s="1">
        <v>110.357</v>
      </c>
      <c r="M280" s="1">
        <v>1.212</v>
      </c>
      <c r="N280" s="1">
        <v>0.22700000000000001</v>
      </c>
      <c r="O280" s="1">
        <v>2.0052E-3</v>
      </c>
      <c r="P280" s="1">
        <v>0</v>
      </c>
    </row>
    <row r="281" spans="1:16">
      <c r="A281" s="1" t="s">
        <v>70</v>
      </c>
      <c r="B281" s="1" t="s">
        <v>149</v>
      </c>
      <c r="C281" s="1">
        <v>95</v>
      </c>
      <c r="D281" s="1" t="s">
        <v>20</v>
      </c>
      <c r="E281" s="1"/>
      <c r="F281" s="1"/>
      <c r="G281" s="1"/>
      <c r="H281" s="1">
        <v>4</v>
      </c>
      <c r="I281" s="1">
        <v>4990</v>
      </c>
      <c r="J281" s="1">
        <v>5567</v>
      </c>
      <c r="K281" s="1">
        <v>3380</v>
      </c>
      <c r="L281" s="1">
        <v>56.597000000000001</v>
      </c>
      <c r="M281" s="1">
        <v>0.63600000000000001</v>
      </c>
      <c r="N281" s="1">
        <v>0.11600000000000001</v>
      </c>
      <c r="O281" s="1">
        <v>1.9959000000000001E-3</v>
      </c>
      <c r="P281" s="1">
        <v>-4.6609999999999996</v>
      </c>
    </row>
    <row r="282" spans="1:16">
      <c r="A282" s="1" t="s">
        <v>70</v>
      </c>
      <c r="B282" s="1" t="s">
        <v>149</v>
      </c>
      <c r="C282" s="1">
        <v>95</v>
      </c>
      <c r="D282" s="1" t="s">
        <v>20</v>
      </c>
      <c r="E282" s="1"/>
      <c r="F282" s="1"/>
      <c r="G282" s="1"/>
      <c r="H282" s="1">
        <v>5</v>
      </c>
      <c r="I282" s="1">
        <v>5824</v>
      </c>
      <c r="J282" s="1">
        <v>6397</v>
      </c>
      <c r="K282" s="1">
        <v>3984</v>
      </c>
      <c r="L282" s="1">
        <v>109.51600000000001</v>
      </c>
      <c r="M282" s="1">
        <v>1.2030000000000001</v>
      </c>
      <c r="N282" s="1">
        <v>0.22500000000000001</v>
      </c>
      <c r="O282" s="1">
        <v>2.0056000000000002E-3</v>
      </c>
      <c r="P282" s="1">
        <v>0.189</v>
      </c>
    </row>
    <row r="283" spans="1:16">
      <c r="A283" s="1" t="s">
        <v>70</v>
      </c>
      <c r="B283" s="1" t="s">
        <v>149</v>
      </c>
      <c r="C283" s="1">
        <v>95</v>
      </c>
      <c r="D283" s="1" t="s">
        <v>20</v>
      </c>
      <c r="E283" s="1"/>
      <c r="F283" s="1"/>
      <c r="G283" s="1"/>
      <c r="H283" s="1">
        <v>6</v>
      </c>
      <c r="I283" s="1">
        <v>5820</v>
      </c>
      <c r="J283" s="1">
        <v>6393</v>
      </c>
      <c r="K283" s="1">
        <v>3980</v>
      </c>
      <c r="L283" s="1">
        <v>110.22</v>
      </c>
      <c r="M283" s="1">
        <v>1.2110000000000001</v>
      </c>
      <c r="N283" s="1">
        <v>0.22600000000000001</v>
      </c>
      <c r="O283" s="1">
        <v>2.0052E-3</v>
      </c>
      <c r="P283" s="1">
        <v>0</v>
      </c>
    </row>
    <row r="284" spans="1:16">
      <c r="A284" s="1" t="s">
        <v>70</v>
      </c>
      <c r="B284" s="1" t="s">
        <v>150</v>
      </c>
      <c r="C284" s="1">
        <v>96</v>
      </c>
      <c r="D284" s="1" t="s">
        <v>20</v>
      </c>
      <c r="E284" s="1"/>
      <c r="F284" s="1"/>
      <c r="G284" s="1"/>
      <c r="H284" s="1">
        <v>4</v>
      </c>
      <c r="I284" s="1">
        <v>5048</v>
      </c>
      <c r="J284" s="1">
        <v>5632</v>
      </c>
      <c r="K284" s="1">
        <v>3419</v>
      </c>
      <c r="L284" s="1">
        <v>57.808999999999997</v>
      </c>
      <c r="M284" s="1">
        <v>0.65</v>
      </c>
      <c r="N284" s="1">
        <v>0.11799999999999999</v>
      </c>
      <c r="O284" s="1">
        <v>1.9964000000000002E-3</v>
      </c>
      <c r="P284" s="1">
        <v>-4.4059999999999997</v>
      </c>
    </row>
    <row r="285" spans="1:16">
      <c r="A285" s="1" t="s">
        <v>70</v>
      </c>
      <c r="B285" s="1" t="s">
        <v>150</v>
      </c>
      <c r="C285" s="1">
        <v>96</v>
      </c>
      <c r="D285" s="1" t="s">
        <v>20</v>
      </c>
      <c r="E285" s="1"/>
      <c r="F285" s="1"/>
      <c r="G285" s="1"/>
      <c r="H285" s="1">
        <v>5</v>
      </c>
      <c r="I285" s="1">
        <v>5831</v>
      </c>
      <c r="J285" s="1">
        <v>6406</v>
      </c>
      <c r="K285" s="1">
        <v>3989</v>
      </c>
      <c r="L285" s="1">
        <v>109.937</v>
      </c>
      <c r="M285" s="1">
        <v>1.208</v>
      </c>
      <c r="N285" s="1">
        <v>0.22600000000000001</v>
      </c>
      <c r="O285" s="1">
        <v>2.0054999999999999E-3</v>
      </c>
      <c r="P285" s="1">
        <v>0.13100000000000001</v>
      </c>
    </row>
    <row r="286" spans="1:16">
      <c r="A286" s="1" t="s">
        <v>70</v>
      </c>
      <c r="B286" s="1" t="s">
        <v>150</v>
      </c>
      <c r="C286" s="1">
        <v>96</v>
      </c>
      <c r="D286" s="1" t="s">
        <v>20</v>
      </c>
      <c r="E286" s="1"/>
      <c r="F286" s="1"/>
      <c r="G286" s="1"/>
      <c r="H286" s="1">
        <v>6</v>
      </c>
      <c r="I286" s="1">
        <v>5839</v>
      </c>
      <c r="J286" s="1">
        <v>6414</v>
      </c>
      <c r="K286" s="1">
        <v>3995</v>
      </c>
      <c r="L286" s="1">
        <v>110.57599999999999</v>
      </c>
      <c r="M286" s="1">
        <v>1.2150000000000001</v>
      </c>
      <c r="N286" s="1">
        <v>0.22700000000000001</v>
      </c>
      <c r="O286" s="1">
        <v>2.0052E-3</v>
      </c>
      <c r="P286" s="1">
        <v>0</v>
      </c>
    </row>
    <row r="287" spans="1:16">
      <c r="A287" s="1" t="s">
        <v>70</v>
      </c>
      <c r="B287" s="1" t="s">
        <v>151</v>
      </c>
      <c r="C287" s="1">
        <v>97</v>
      </c>
      <c r="D287" s="1" t="s">
        <v>152</v>
      </c>
      <c r="E287" s="1"/>
      <c r="F287" s="1"/>
      <c r="G287" s="1"/>
      <c r="H287" s="1">
        <v>4</v>
      </c>
      <c r="I287" s="1">
        <v>4969</v>
      </c>
      <c r="J287" s="1">
        <v>5544</v>
      </c>
      <c r="K287" s="1">
        <v>3365</v>
      </c>
      <c r="L287" s="1">
        <v>57.14</v>
      </c>
      <c r="M287" s="1">
        <v>0.64200000000000002</v>
      </c>
      <c r="N287" s="1">
        <v>0.11700000000000001</v>
      </c>
      <c r="O287" s="1">
        <v>1.9954999999999999E-3</v>
      </c>
      <c r="P287" s="1">
        <v>-4.8230000000000004</v>
      </c>
    </row>
    <row r="288" spans="1:16">
      <c r="A288" s="1" t="s">
        <v>70</v>
      </c>
      <c r="B288" s="1" t="s">
        <v>151</v>
      </c>
      <c r="C288" s="1">
        <v>97</v>
      </c>
      <c r="D288" s="1" t="s">
        <v>152</v>
      </c>
      <c r="E288" s="1"/>
      <c r="F288" s="1"/>
      <c r="G288" s="1"/>
      <c r="H288" s="1">
        <v>5</v>
      </c>
      <c r="I288" s="1">
        <v>5818</v>
      </c>
      <c r="J288" s="1">
        <v>6392</v>
      </c>
      <c r="K288" s="1">
        <v>3980</v>
      </c>
      <c r="L288" s="1">
        <v>109.369</v>
      </c>
      <c r="M288" s="1">
        <v>1.202</v>
      </c>
      <c r="N288" s="1">
        <v>0.224</v>
      </c>
      <c r="O288" s="1">
        <v>2.0054000000000001E-3</v>
      </c>
      <c r="P288" s="1">
        <v>0.11899999999999999</v>
      </c>
    </row>
    <row r="289" spans="1:16">
      <c r="A289" s="1" t="s">
        <v>70</v>
      </c>
      <c r="B289" s="1" t="s">
        <v>151</v>
      </c>
      <c r="C289" s="1">
        <v>97</v>
      </c>
      <c r="D289" s="1" t="s">
        <v>152</v>
      </c>
      <c r="E289" s="1"/>
      <c r="F289" s="1"/>
      <c r="G289" s="1"/>
      <c r="H289" s="1">
        <v>6</v>
      </c>
      <c r="I289" s="1">
        <v>5819</v>
      </c>
      <c r="J289" s="1">
        <v>6393</v>
      </c>
      <c r="K289" s="1">
        <v>3981</v>
      </c>
      <c r="L289" s="1">
        <v>110.155</v>
      </c>
      <c r="M289" s="1">
        <v>1.21</v>
      </c>
      <c r="N289" s="1">
        <v>0.22600000000000001</v>
      </c>
      <c r="O289" s="1">
        <v>2.0052E-3</v>
      </c>
      <c r="P289" s="1">
        <v>0</v>
      </c>
    </row>
    <row r="290" spans="1:16">
      <c r="A290" s="1" t="s">
        <v>70</v>
      </c>
      <c r="B290" s="1" t="s">
        <v>153</v>
      </c>
      <c r="C290" s="1">
        <v>98</v>
      </c>
      <c r="D290" s="1" t="s">
        <v>152</v>
      </c>
      <c r="E290" s="1"/>
      <c r="F290" s="1"/>
      <c r="G290" s="1"/>
      <c r="H290" s="1">
        <v>4</v>
      </c>
      <c r="I290" s="1">
        <v>4950</v>
      </c>
      <c r="J290" s="1">
        <v>5522</v>
      </c>
      <c r="K290" s="1">
        <v>3352</v>
      </c>
      <c r="L290" s="1">
        <v>56.4</v>
      </c>
      <c r="M290" s="1">
        <v>0.63400000000000001</v>
      </c>
      <c r="N290" s="1">
        <v>0.115</v>
      </c>
      <c r="O290" s="1">
        <v>1.9954E-3</v>
      </c>
      <c r="P290" s="1">
        <v>-4.8789999999999996</v>
      </c>
    </row>
    <row r="291" spans="1:16">
      <c r="A291" s="1" t="s">
        <v>70</v>
      </c>
      <c r="B291" s="1" t="s">
        <v>153</v>
      </c>
      <c r="C291" s="1">
        <v>98</v>
      </c>
      <c r="D291" s="1" t="s">
        <v>152</v>
      </c>
      <c r="E291" s="1"/>
      <c r="F291" s="1"/>
      <c r="G291" s="1"/>
      <c r="H291" s="1">
        <v>5</v>
      </c>
      <c r="I291" s="1">
        <v>5837</v>
      </c>
      <c r="J291" s="1">
        <v>6413</v>
      </c>
      <c r="K291" s="1">
        <v>3994</v>
      </c>
      <c r="L291" s="1">
        <v>109.798</v>
      </c>
      <c r="M291" s="1">
        <v>1.206</v>
      </c>
      <c r="N291" s="1">
        <v>0.22500000000000001</v>
      </c>
      <c r="O291" s="1">
        <v>2.0054999999999999E-3</v>
      </c>
      <c r="P291" s="1">
        <v>0.13800000000000001</v>
      </c>
    </row>
    <row r="292" spans="1:16">
      <c r="A292" s="1" t="s">
        <v>70</v>
      </c>
      <c r="B292" s="1" t="s">
        <v>153</v>
      </c>
      <c r="C292" s="1">
        <v>98</v>
      </c>
      <c r="D292" s="1" t="s">
        <v>152</v>
      </c>
      <c r="E292" s="1"/>
      <c r="F292" s="1"/>
      <c r="G292" s="1"/>
      <c r="H292" s="1">
        <v>6</v>
      </c>
      <c r="I292" s="1">
        <v>5828</v>
      </c>
      <c r="J292" s="1">
        <v>6403</v>
      </c>
      <c r="K292" s="1">
        <v>3988</v>
      </c>
      <c r="L292" s="1">
        <v>110.398</v>
      </c>
      <c r="M292" s="1">
        <v>1.2130000000000001</v>
      </c>
      <c r="N292" s="1">
        <v>0.22700000000000001</v>
      </c>
      <c r="O292" s="1">
        <v>2.0052E-3</v>
      </c>
      <c r="P292" s="1">
        <v>0</v>
      </c>
    </row>
    <row r="293" spans="1:16">
      <c r="A293" s="1" t="s">
        <v>70</v>
      </c>
      <c r="B293" s="1" t="s">
        <v>154</v>
      </c>
      <c r="C293" s="1">
        <v>99</v>
      </c>
      <c r="D293" s="1" t="s">
        <v>155</v>
      </c>
      <c r="E293" s="1"/>
      <c r="F293" s="1"/>
      <c r="G293" s="1"/>
      <c r="H293" s="1">
        <v>4</v>
      </c>
      <c r="I293" s="1">
        <v>5043</v>
      </c>
      <c r="J293" s="1">
        <v>5626</v>
      </c>
      <c r="K293" s="1">
        <v>3416</v>
      </c>
      <c r="L293" s="1">
        <v>57.874000000000002</v>
      </c>
      <c r="M293" s="1">
        <v>0.65</v>
      </c>
      <c r="N293" s="1">
        <v>0.11799999999999999</v>
      </c>
      <c r="O293" s="1">
        <v>1.9970000000000001E-3</v>
      </c>
      <c r="P293" s="1">
        <v>-4.1029999999999998</v>
      </c>
    </row>
    <row r="294" spans="1:16">
      <c r="A294" s="1" t="s">
        <v>70</v>
      </c>
      <c r="B294" s="1" t="s">
        <v>154</v>
      </c>
      <c r="C294" s="1">
        <v>99</v>
      </c>
      <c r="D294" s="1" t="s">
        <v>155</v>
      </c>
      <c r="E294" s="1"/>
      <c r="F294" s="1"/>
      <c r="G294" s="1"/>
      <c r="H294" s="1">
        <v>5</v>
      </c>
      <c r="I294" s="1">
        <v>5815</v>
      </c>
      <c r="J294" s="1">
        <v>6389</v>
      </c>
      <c r="K294" s="1">
        <v>3978</v>
      </c>
      <c r="L294" s="1">
        <v>109.208</v>
      </c>
      <c r="M294" s="1">
        <v>1.2</v>
      </c>
      <c r="N294" s="1">
        <v>0.224</v>
      </c>
      <c r="O294" s="1">
        <v>2.0056000000000002E-3</v>
      </c>
      <c r="P294" s="1">
        <v>0.184</v>
      </c>
    </row>
    <row r="295" spans="1:16">
      <c r="A295" s="1" t="s">
        <v>70</v>
      </c>
      <c r="B295" s="1" t="s">
        <v>154</v>
      </c>
      <c r="C295" s="1">
        <v>99</v>
      </c>
      <c r="D295" s="1" t="s">
        <v>155</v>
      </c>
      <c r="E295" s="1"/>
      <c r="F295" s="1"/>
      <c r="G295" s="1"/>
      <c r="H295" s="1">
        <v>6</v>
      </c>
      <c r="I295" s="1">
        <v>5816</v>
      </c>
      <c r="J295" s="1">
        <v>6389</v>
      </c>
      <c r="K295" s="1">
        <v>3978</v>
      </c>
      <c r="L295" s="1">
        <v>109.944</v>
      </c>
      <c r="M295" s="1">
        <v>1.208</v>
      </c>
      <c r="N295" s="1">
        <v>0.22600000000000001</v>
      </c>
      <c r="O295" s="1">
        <v>2.0052E-3</v>
      </c>
      <c r="P295" s="1">
        <v>0</v>
      </c>
    </row>
    <row r="296" spans="1:16">
      <c r="A296" s="1" t="s">
        <v>70</v>
      </c>
      <c r="B296" s="1" t="s">
        <v>156</v>
      </c>
      <c r="C296" s="1">
        <v>100</v>
      </c>
      <c r="D296" s="1" t="s">
        <v>155</v>
      </c>
      <c r="E296" s="1"/>
      <c r="F296" s="1"/>
      <c r="G296" s="1"/>
      <c r="H296" s="1">
        <v>4</v>
      </c>
      <c r="I296" s="1">
        <v>5015</v>
      </c>
      <c r="J296" s="1">
        <v>5595</v>
      </c>
      <c r="K296" s="1">
        <v>3398</v>
      </c>
      <c r="L296" s="1">
        <v>57.765000000000001</v>
      </c>
      <c r="M296" s="1">
        <v>0.64900000000000002</v>
      </c>
      <c r="N296" s="1">
        <v>0.11799999999999999</v>
      </c>
      <c r="O296" s="1">
        <v>1.9967000000000001E-3</v>
      </c>
      <c r="P296" s="1">
        <v>-4.2610000000000001</v>
      </c>
    </row>
    <row r="297" spans="1:16">
      <c r="A297" s="1" t="s">
        <v>70</v>
      </c>
      <c r="B297" s="1" t="s">
        <v>156</v>
      </c>
      <c r="C297" s="1">
        <v>100</v>
      </c>
      <c r="D297" s="1" t="s">
        <v>155</v>
      </c>
      <c r="E297" s="1"/>
      <c r="F297" s="1"/>
      <c r="G297" s="1"/>
      <c r="H297" s="1">
        <v>5</v>
      </c>
      <c r="I297" s="1">
        <v>5817</v>
      </c>
      <c r="J297" s="1">
        <v>6391</v>
      </c>
      <c r="K297" s="1">
        <v>3979</v>
      </c>
      <c r="L297" s="1">
        <v>109.59399999999999</v>
      </c>
      <c r="M297" s="1">
        <v>1.204</v>
      </c>
      <c r="N297" s="1">
        <v>0.22500000000000001</v>
      </c>
      <c r="O297" s="1">
        <v>2.0056000000000002E-3</v>
      </c>
      <c r="P297" s="1">
        <v>0.191</v>
      </c>
    </row>
    <row r="298" spans="1:16">
      <c r="A298" s="1" t="s">
        <v>70</v>
      </c>
      <c r="B298" s="1" t="s">
        <v>156</v>
      </c>
      <c r="C298" s="1">
        <v>100</v>
      </c>
      <c r="D298" s="1" t="s">
        <v>155</v>
      </c>
      <c r="E298" s="1"/>
      <c r="F298" s="1"/>
      <c r="G298" s="1"/>
      <c r="H298" s="1">
        <v>6</v>
      </c>
      <c r="I298" s="1">
        <v>5817</v>
      </c>
      <c r="J298" s="1">
        <v>6391</v>
      </c>
      <c r="K298" s="1">
        <v>3979</v>
      </c>
      <c r="L298" s="1">
        <v>110.04300000000001</v>
      </c>
      <c r="M298" s="1">
        <v>1.2090000000000001</v>
      </c>
      <c r="N298" s="1">
        <v>0.22600000000000001</v>
      </c>
      <c r="O298" s="1">
        <v>2.0052E-3</v>
      </c>
      <c r="P298" s="1">
        <v>0</v>
      </c>
    </row>
    <row r="299" spans="1:16">
      <c r="A299" s="1" t="s">
        <v>70</v>
      </c>
      <c r="B299" s="1" t="s">
        <v>157</v>
      </c>
      <c r="C299" s="1">
        <v>101</v>
      </c>
      <c r="D299" s="1" t="s">
        <v>158</v>
      </c>
      <c r="E299" s="1"/>
      <c r="F299" s="1"/>
      <c r="G299" s="1"/>
      <c r="H299" s="1">
        <v>4</v>
      </c>
      <c r="I299" s="1">
        <v>5015</v>
      </c>
      <c r="J299" s="1">
        <v>5595</v>
      </c>
      <c r="K299" s="1">
        <v>3400</v>
      </c>
      <c r="L299" s="1">
        <v>57.975000000000001</v>
      </c>
      <c r="M299" s="1">
        <v>0.65200000000000002</v>
      </c>
      <c r="N299" s="1">
        <v>0.11899999999999999</v>
      </c>
      <c r="O299" s="1">
        <v>1.9978000000000001E-3</v>
      </c>
      <c r="P299" s="1">
        <v>-3.7109999999999999</v>
      </c>
    </row>
    <row r="300" spans="1:16">
      <c r="A300" s="1" t="s">
        <v>70</v>
      </c>
      <c r="B300" s="1" t="s">
        <v>157</v>
      </c>
      <c r="C300" s="1">
        <v>101</v>
      </c>
      <c r="D300" s="1" t="s">
        <v>158</v>
      </c>
      <c r="E300" s="1"/>
      <c r="F300" s="1"/>
      <c r="G300" s="1"/>
      <c r="H300" s="1">
        <v>5</v>
      </c>
      <c r="I300" s="1">
        <v>5826</v>
      </c>
      <c r="J300" s="1">
        <v>6400</v>
      </c>
      <c r="K300" s="1">
        <v>3985</v>
      </c>
      <c r="L300" s="1">
        <v>109.589</v>
      </c>
      <c r="M300" s="1">
        <v>1.204</v>
      </c>
      <c r="N300" s="1">
        <v>0.22500000000000001</v>
      </c>
      <c r="O300" s="1">
        <v>2.0054000000000001E-3</v>
      </c>
      <c r="P300" s="1">
        <v>0.08</v>
      </c>
    </row>
    <row r="301" spans="1:16">
      <c r="A301" s="1" t="s">
        <v>70</v>
      </c>
      <c r="B301" s="1" t="s">
        <v>157</v>
      </c>
      <c r="C301" s="1">
        <v>101</v>
      </c>
      <c r="D301" s="1" t="s">
        <v>158</v>
      </c>
      <c r="E301" s="1"/>
      <c r="F301" s="1"/>
      <c r="G301" s="1"/>
      <c r="H301" s="1">
        <v>6</v>
      </c>
      <c r="I301" s="1">
        <v>5825</v>
      </c>
      <c r="J301" s="1">
        <v>6400</v>
      </c>
      <c r="K301" s="1">
        <v>3985</v>
      </c>
      <c r="L301" s="1">
        <v>110.23099999999999</v>
      </c>
      <c r="M301" s="1">
        <v>1.2110000000000001</v>
      </c>
      <c r="N301" s="1">
        <v>0.22600000000000001</v>
      </c>
      <c r="O301" s="1">
        <v>2.0052E-3</v>
      </c>
      <c r="P301" s="1">
        <v>0</v>
      </c>
    </row>
    <row r="302" spans="1:16">
      <c r="A302" s="1" t="s">
        <v>70</v>
      </c>
      <c r="B302" s="1" t="s">
        <v>159</v>
      </c>
      <c r="C302" s="1">
        <v>102</v>
      </c>
      <c r="D302" s="1" t="s">
        <v>158</v>
      </c>
      <c r="E302" s="1"/>
      <c r="F302" s="1"/>
      <c r="G302" s="1"/>
      <c r="H302" s="1">
        <v>4</v>
      </c>
      <c r="I302" s="1">
        <v>5042</v>
      </c>
      <c r="J302" s="1">
        <v>5625</v>
      </c>
      <c r="K302" s="1">
        <v>3417</v>
      </c>
      <c r="L302" s="1">
        <v>57.622</v>
      </c>
      <c r="M302" s="1">
        <v>0.64800000000000002</v>
      </c>
      <c r="N302" s="1">
        <v>0.11799999999999999</v>
      </c>
      <c r="O302" s="1">
        <v>1.9972000000000002E-3</v>
      </c>
      <c r="P302" s="1">
        <v>-4.008</v>
      </c>
    </row>
    <row r="303" spans="1:16">
      <c r="A303" s="1" t="s">
        <v>70</v>
      </c>
      <c r="B303" s="1" t="s">
        <v>159</v>
      </c>
      <c r="C303" s="1">
        <v>102</v>
      </c>
      <c r="D303" s="1" t="s">
        <v>158</v>
      </c>
      <c r="E303" s="1"/>
      <c r="F303" s="1"/>
      <c r="G303" s="1"/>
      <c r="H303" s="1">
        <v>5</v>
      </c>
      <c r="I303" s="1">
        <v>5818</v>
      </c>
      <c r="J303" s="1">
        <v>6392</v>
      </c>
      <c r="K303" s="1">
        <v>3981</v>
      </c>
      <c r="L303" s="1">
        <v>109.467</v>
      </c>
      <c r="M303" s="1">
        <v>1.2030000000000001</v>
      </c>
      <c r="N303" s="1">
        <v>0.22500000000000001</v>
      </c>
      <c r="O303" s="1">
        <v>2.0054999999999999E-3</v>
      </c>
      <c r="P303" s="1">
        <v>0.14899999999999999</v>
      </c>
    </row>
    <row r="304" spans="1:16">
      <c r="A304" s="1" t="s">
        <v>70</v>
      </c>
      <c r="B304" s="1" t="s">
        <v>159</v>
      </c>
      <c r="C304" s="1">
        <v>102</v>
      </c>
      <c r="D304" s="1" t="s">
        <v>158</v>
      </c>
      <c r="E304" s="1"/>
      <c r="F304" s="1"/>
      <c r="G304" s="1"/>
      <c r="H304" s="1">
        <v>6</v>
      </c>
      <c r="I304" s="1">
        <v>5816</v>
      </c>
      <c r="J304" s="1">
        <v>6389</v>
      </c>
      <c r="K304" s="1">
        <v>3979</v>
      </c>
      <c r="L304" s="1">
        <v>110.01600000000001</v>
      </c>
      <c r="M304" s="1">
        <v>1.2090000000000001</v>
      </c>
      <c r="N304" s="1">
        <v>0.22600000000000001</v>
      </c>
      <c r="O304" s="1">
        <v>2.0052E-3</v>
      </c>
      <c r="P304" s="1">
        <v>0</v>
      </c>
    </row>
    <row r="305" spans="1:16">
      <c r="A305" s="1" t="s">
        <v>70</v>
      </c>
      <c r="B305" s="1" t="s">
        <v>160</v>
      </c>
      <c r="C305" s="1">
        <v>103</v>
      </c>
      <c r="D305" s="1" t="s">
        <v>161</v>
      </c>
      <c r="E305" s="1"/>
      <c r="F305" s="1"/>
      <c r="G305" s="1"/>
      <c r="H305" s="1">
        <v>4</v>
      </c>
      <c r="I305" s="1">
        <v>5402</v>
      </c>
      <c r="J305" s="1">
        <v>6026</v>
      </c>
      <c r="K305" s="1">
        <v>3664</v>
      </c>
      <c r="L305" s="1">
        <v>61.872</v>
      </c>
      <c r="M305" s="1">
        <v>0.69499999999999995</v>
      </c>
      <c r="N305" s="1">
        <v>0.127</v>
      </c>
      <c r="O305" s="1">
        <v>1.9992999999999999E-3</v>
      </c>
      <c r="P305" s="1">
        <v>-2.9590000000000001</v>
      </c>
    </row>
    <row r="306" spans="1:16">
      <c r="A306" s="1" t="s">
        <v>70</v>
      </c>
      <c r="B306" s="1" t="s">
        <v>160</v>
      </c>
      <c r="C306" s="1">
        <v>103</v>
      </c>
      <c r="D306" s="1" t="s">
        <v>161</v>
      </c>
      <c r="E306" s="1"/>
      <c r="F306" s="1"/>
      <c r="G306" s="1"/>
      <c r="H306" s="1">
        <v>5</v>
      </c>
      <c r="I306" s="1">
        <v>5822</v>
      </c>
      <c r="J306" s="1">
        <v>6396</v>
      </c>
      <c r="K306" s="1">
        <v>3983</v>
      </c>
      <c r="L306" s="1">
        <v>109.81</v>
      </c>
      <c r="M306" s="1">
        <v>1.206</v>
      </c>
      <c r="N306" s="1">
        <v>0.22500000000000001</v>
      </c>
      <c r="O306" s="1">
        <v>2.0054999999999999E-3</v>
      </c>
      <c r="P306" s="1">
        <v>0.13700000000000001</v>
      </c>
    </row>
    <row r="307" spans="1:16">
      <c r="A307" s="1" t="s">
        <v>70</v>
      </c>
      <c r="B307" s="1" t="s">
        <v>160</v>
      </c>
      <c r="C307" s="1">
        <v>103</v>
      </c>
      <c r="D307" s="1" t="s">
        <v>161</v>
      </c>
      <c r="E307" s="1"/>
      <c r="F307" s="1"/>
      <c r="G307" s="1"/>
      <c r="H307" s="1">
        <v>6</v>
      </c>
      <c r="I307" s="1">
        <v>5828</v>
      </c>
      <c r="J307" s="1">
        <v>6403</v>
      </c>
      <c r="K307" s="1">
        <v>3986</v>
      </c>
      <c r="L307" s="1">
        <v>110.16</v>
      </c>
      <c r="M307" s="1">
        <v>1.21</v>
      </c>
      <c r="N307" s="1">
        <v>0.22600000000000001</v>
      </c>
      <c r="O307" s="1">
        <v>2.0052E-3</v>
      </c>
      <c r="P307" s="1">
        <v>0</v>
      </c>
    </row>
    <row r="308" spans="1:16">
      <c r="A308" s="1" t="s">
        <v>70</v>
      </c>
      <c r="B308" s="1" t="s">
        <v>162</v>
      </c>
      <c r="C308" s="1">
        <v>104</v>
      </c>
      <c r="D308" s="1" t="s">
        <v>161</v>
      </c>
      <c r="E308" s="1"/>
      <c r="F308" s="1"/>
      <c r="G308" s="1"/>
      <c r="H308" s="1">
        <v>4</v>
      </c>
      <c r="I308" s="1">
        <v>5068</v>
      </c>
      <c r="J308" s="1">
        <v>5654</v>
      </c>
      <c r="K308" s="1">
        <v>3439</v>
      </c>
      <c r="L308" s="1">
        <v>58.085000000000001</v>
      </c>
      <c r="M308" s="1">
        <v>0.65300000000000002</v>
      </c>
      <c r="N308" s="1">
        <v>0.11899999999999999</v>
      </c>
      <c r="O308" s="1">
        <v>1.9995E-3</v>
      </c>
      <c r="P308" s="1">
        <v>-2.8650000000000002</v>
      </c>
    </row>
    <row r="309" spans="1:16">
      <c r="A309" s="1" t="s">
        <v>70</v>
      </c>
      <c r="B309" s="1" t="s">
        <v>162</v>
      </c>
      <c r="C309" s="1">
        <v>104</v>
      </c>
      <c r="D309" s="1" t="s">
        <v>161</v>
      </c>
      <c r="E309" s="1"/>
      <c r="F309" s="1"/>
      <c r="G309" s="1"/>
      <c r="H309" s="1">
        <v>5</v>
      </c>
      <c r="I309" s="1">
        <v>5834</v>
      </c>
      <c r="J309" s="1">
        <v>6409</v>
      </c>
      <c r="K309" s="1">
        <v>3991</v>
      </c>
      <c r="L309" s="1">
        <v>109.96299999999999</v>
      </c>
      <c r="M309" s="1">
        <v>1.208</v>
      </c>
      <c r="N309" s="1">
        <v>0.22600000000000001</v>
      </c>
      <c r="O309" s="1">
        <v>2.0054999999999999E-3</v>
      </c>
      <c r="P309" s="1">
        <v>0.13900000000000001</v>
      </c>
    </row>
    <row r="310" spans="1:16">
      <c r="A310" s="1" t="s">
        <v>70</v>
      </c>
      <c r="B310" s="1" t="s">
        <v>162</v>
      </c>
      <c r="C310" s="1">
        <v>104</v>
      </c>
      <c r="D310" s="1" t="s">
        <v>161</v>
      </c>
      <c r="E310" s="1"/>
      <c r="F310" s="1"/>
      <c r="G310" s="1"/>
      <c r="H310" s="1">
        <v>6</v>
      </c>
      <c r="I310" s="1">
        <v>5831</v>
      </c>
      <c r="J310" s="1">
        <v>6405</v>
      </c>
      <c r="K310" s="1">
        <v>3990</v>
      </c>
      <c r="L310" s="1">
        <v>110.43899999999999</v>
      </c>
      <c r="M310" s="1">
        <v>1.2130000000000001</v>
      </c>
      <c r="N310" s="1">
        <v>0.22700000000000001</v>
      </c>
      <c r="O310" s="1">
        <v>2.0052E-3</v>
      </c>
      <c r="P310" s="1">
        <v>0</v>
      </c>
    </row>
    <row r="311" spans="1:16">
      <c r="A311" s="1" t="s">
        <v>70</v>
      </c>
      <c r="B311" s="1" t="s">
        <v>163</v>
      </c>
      <c r="C311" s="1">
        <v>105</v>
      </c>
      <c r="D311" s="1" t="s">
        <v>164</v>
      </c>
      <c r="E311" s="1"/>
      <c r="F311" s="1"/>
      <c r="G311" s="1"/>
      <c r="H311" s="1">
        <v>4</v>
      </c>
      <c r="I311" s="1">
        <v>5128</v>
      </c>
      <c r="J311" s="1">
        <v>5721</v>
      </c>
      <c r="K311" s="1">
        <v>3482</v>
      </c>
      <c r="L311" s="1">
        <v>58.753</v>
      </c>
      <c r="M311" s="1">
        <v>0.66</v>
      </c>
      <c r="N311" s="1">
        <v>0.12</v>
      </c>
      <c r="O311" s="1">
        <v>2.0010000000000002E-3</v>
      </c>
      <c r="P311" s="1">
        <v>-2.0859999999999999</v>
      </c>
    </row>
    <row r="312" spans="1:16">
      <c r="A312" s="1" t="s">
        <v>70</v>
      </c>
      <c r="B312" s="1" t="s">
        <v>163</v>
      </c>
      <c r="C312" s="1">
        <v>105</v>
      </c>
      <c r="D312" s="1" t="s">
        <v>164</v>
      </c>
      <c r="E312" s="1"/>
      <c r="F312" s="1"/>
      <c r="G312" s="1"/>
      <c r="H312" s="1">
        <v>5</v>
      </c>
      <c r="I312" s="1">
        <v>5831</v>
      </c>
      <c r="J312" s="1">
        <v>6406</v>
      </c>
      <c r="K312" s="1">
        <v>3989</v>
      </c>
      <c r="L312" s="1">
        <v>109.749</v>
      </c>
      <c r="M312" s="1">
        <v>1.206</v>
      </c>
      <c r="N312" s="1">
        <v>0.22500000000000001</v>
      </c>
      <c r="O312" s="1">
        <v>2.0054999999999999E-3</v>
      </c>
      <c r="P312" s="1">
        <v>0.129</v>
      </c>
    </row>
    <row r="313" spans="1:16">
      <c r="A313" s="1" t="s">
        <v>70</v>
      </c>
      <c r="B313" s="1" t="s">
        <v>163</v>
      </c>
      <c r="C313" s="1">
        <v>105</v>
      </c>
      <c r="D313" s="1" t="s">
        <v>164</v>
      </c>
      <c r="E313" s="1"/>
      <c r="F313" s="1"/>
      <c r="G313" s="1"/>
      <c r="H313" s="1">
        <v>6</v>
      </c>
      <c r="I313" s="1">
        <v>5841</v>
      </c>
      <c r="J313" s="1">
        <v>6417</v>
      </c>
      <c r="K313" s="1">
        <v>3995</v>
      </c>
      <c r="L313" s="1">
        <v>110.595</v>
      </c>
      <c r="M313" s="1">
        <v>1.2150000000000001</v>
      </c>
      <c r="N313" s="1">
        <v>0.22700000000000001</v>
      </c>
      <c r="O313" s="1">
        <v>2.0052E-3</v>
      </c>
      <c r="P313" s="1">
        <v>0</v>
      </c>
    </row>
    <row r="314" spans="1:16">
      <c r="A314" s="1" t="s">
        <v>70</v>
      </c>
      <c r="B314" s="1" t="s">
        <v>165</v>
      </c>
      <c r="C314" s="1">
        <v>106</v>
      </c>
      <c r="D314" s="1" t="s">
        <v>164</v>
      </c>
      <c r="E314" s="1"/>
      <c r="F314" s="1"/>
      <c r="G314" s="1"/>
      <c r="H314" s="1">
        <v>4</v>
      </c>
      <c r="I314" s="1">
        <v>5105</v>
      </c>
      <c r="J314" s="1">
        <v>5695</v>
      </c>
      <c r="K314" s="1">
        <v>3467</v>
      </c>
      <c r="L314" s="1">
        <v>58.679000000000002</v>
      </c>
      <c r="M314" s="1">
        <v>0.65900000000000003</v>
      </c>
      <c r="N314" s="1">
        <v>0.12</v>
      </c>
      <c r="O314" s="1">
        <v>2.0010000000000002E-3</v>
      </c>
      <c r="P314" s="1">
        <v>-2.1030000000000002</v>
      </c>
    </row>
    <row r="315" spans="1:16">
      <c r="A315" s="1" t="s">
        <v>70</v>
      </c>
      <c r="B315" s="1" t="s">
        <v>165</v>
      </c>
      <c r="C315" s="1">
        <v>106</v>
      </c>
      <c r="D315" s="1" t="s">
        <v>164</v>
      </c>
      <c r="E315" s="1"/>
      <c r="F315" s="1"/>
      <c r="G315" s="1"/>
      <c r="H315" s="1">
        <v>5</v>
      </c>
      <c r="I315" s="1">
        <v>5816</v>
      </c>
      <c r="J315" s="1">
        <v>6389</v>
      </c>
      <c r="K315" s="1">
        <v>3979</v>
      </c>
      <c r="L315" s="1">
        <v>109.61799999999999</v>
      </c>
      <c r="M315" s="1">
        <v>1.204</v>
      </c>
      <c r="N315" s="1">
        <v>0.22500000000000001</v>
      </c>
      <c r="O315" s="1">
        <v>2.0054000000000001E-3</v>
      </c>
      <c r="P315" s="1">
        <v>0.104</v>
      </c>
    </row>
    <row r="316" spans="1:16">
      <c r="A316" s="1" t="s">
        <v>70</v>
      </c>
      <c r="B316" s="1" t="s">
        <v>165</v>
      </c>
      <c r="C316" s="1">
        <v>106</v>
      </c>
      <c r="D316" s="1" t="s">
        <v>164</v>
      </c>
      <c r="E316" s="1"/>
      <c r="F316" s="1"/>
      <c r="G316" s="1"/>
      <c r="H316" s="1">
        <v>6</v>
      </c>
      <c r="I316" s="1">
        <v>5816</v>
      </c>
      <c r="J316" s="1">
        <v>6390</v>
      </c>
      <c r="K316" s="1">
        <v>3977</v>
      </c>
      <c r="L316" s="1">
        <v>110.116</v>
      </c>
      <c r="M316" s="1">
        <v>1.21</v>
      </c>
      <c r="N316" s="1">
        <v>0.22600000000000001</v>
      </c>
      <c r="O316" s="1">
        <v>2.0052E-3</v>
      </c>
      <c r="P316" s="1">
        <v>0</v>
      </c>
    </row>
    <row r="317" spans="1:16">
      <c r="A317" s="1" t="s">
        <v>70</v>
      </c>
      <c r="B317" s="1" t="s">
        <v>166</v>
      </c>
      <c r="C317" s="1">
        <v>107</v>
      </c>
      <c r="D317" s="1" t="s">
        <v>20</v>
      </c>
      <c r="E317" s="1"/>
      <c r="F317" s="1"/>
      <c r="G317" s="1"/>
      <c r="H317" s="1">
        <v>4</v>
      </c>
      <c r="I317" s="1">
        <v>5089</v>
      </c>
      <c r="J317" s="1">
        <v>5676</v>
      </c>
      <c r="K317" s="1">
        <v>3447</v>
      </c>
      <c r="L317" s="1">
        <v>58.220999999999997</v>
      </c>
      <c r="M317" s="1">
        <v>0.65400000000000003</v>
      </c>
      <c r="N317" s="1">
        <v>0.11899999999999999</v>
      </c>
      <c r="O317" s="1">
        <v>1.9962999999999999E-3</v>
      </c>
      <c r="P317" s="1">
        <v>-4.431</v>
      </c>
    </row>
    <row r="318" spans="1:16">
      <c r="A318" s="1" t="s">
        <v>70</v>
      </c>
      <c r="B318" s="1" t="s">
        <v>166</v>
      </c>
      <c r="C318" s="1">
        <v>107</v>
      </c>
      <c r="D318" s="1" t="s">
        <v>20</v>
      </c>
      <c r="E318" s="1"/>
      <c r="F318" s="1"/>
      <c r="G318" s="1"/>
      <c r="H318" s="1">
        <v>5</v>
      </c>
      <c r="I318" s="1">
        <v>5824</v>
      </c>
      <c r="J318" s="1">
        <v>6399</v>
      </c>
      <c r="K318" s="1">
        <v>3984</v>
      </c>
      <c r="L318" s="1">
        <v>109.807</v>
      </c>
      <c r="M318" s="1">
        <v>1.206</v>
      </c>
      <c r="N318" s="1">
        <v>0.22500000000000001</v>
      </c>
      <c r="O318" s="1">
        <v>2.0054000000000001E-3</v>
      </c>
      <c r="P318" s="1">
        <v>0.10199999999999999</v>
      </c>
    </row>
    <row r="319" spans="1:16">
      <c r="A319" s="1" t="s">
        <v>70</v>
      </c>
      <c r="B319" s="1" t="s">
        <v>166</v>
      </c>
      <c r="C319" s="1">
        <v>107</v>
      </c>
      <c r="D319" s="1" t="s">
        <v>20</v>
      </c>
      <c r="E319" s="1"/>
      <c r="F319" s="1"/>
      <c r="G319" s="1"/>
      <c r="H319" s="1">
        <v>6</v>
      </c>
      <c r="I319" s="1">
        <v>5817</v>
      </c>
      <c r="J319" s="1">
        <v>6390</v>
      </c>
      <c r="K319" s="1">
        <v>3979</v>
      </c>
      <c r="L319" s="1">
        <v>110.70099999999999</v>
      </c>
      <c r="M319" s="1">
        <v>1.216</v>
      </c>
      <c r="N319" s="1">
        <v>0.22700000000000001</v>
      </c>
      <c r="O319" s="1">
        <v>2.0052E-3</v>
      </c>
      <c r="P319" s="1">
        <v>0</v>
      </c>
    </row>
    <row r="320" spans="1:16">
      <c r="A320" s="1" t="s">
        <v>70</v>
      </c>
      <c r="B320" s="1" t="s">
        <v>167</v>
      </c>
      <c r="C320" s="1">
        <v>108</v>
      </c>
      <c r="D320" s="1" t="s">
        <v>20</v>
      </c>
      <c r="E320" s="1"/>
      <c r="F320" s="1"/>
      <c r="G320" s="1"/>
      <c r="H320" s="1">
        <v>4</v>
      </c>
      <c r="I320" s="1">
        <v>5048</v>
      </c>
      <c r="J320" s="1">
        <v>5632</v>
      </c>
      <c r="K320" s="1">
        <v>3419</v>
      </c>
      <c r="L320" s="1">
        <v>57.866999999999997</v>
      </c>
      <c r="M320" s="1">
        <v>0.65</v>
      </c>
      <c r="N320" s="1">
        <v>0.11799999999999999</v>
      </c>
      <c r="O320" s="1">
        <v>1.9964000000000002E-3</v>
      </c>
      <c r="P320" s="1">
        <v>-4.3899999999999997</v>
      </c>
    </row>
    <row r="321" spans="1:16">
      <c r="A321" s="1" t="s">
        <v>70</v>
      </c>
      <c r="B321" s="1" t="s">
        <v>167</v>
      </c>
      <c r="C321" s="1">
        <v>108</v>
      </c>
      <c r="D321" s="1" t="s">
        <v>20</v>
      </c>
      <c r="E321" s="1"/>
      <c r="F321" s="1"/>
      <c r="G321" s="1"/>
      <c r="H321" s="1">
        <v>5</v>
      </c>
      <c r="I321" s="1">
        <v>5810</v>
      </c>
      <c r="J321" s="1">
        <v>6384</v>
      </c>
      <c r="K321" s="1">
        <v>3976</v>
      </c>
      <c r="L321" s="1">
        <v>109.505</v>
      </c>
      <c r="M321" s="1">
        <v>1.2030000000000001</v>
      </c>
      <c r="N321" s="1">
        <v>0.22500000000000001</v>
      </c>
      <c r="O321" s="1">
        <v>2.0054999999999999E-3</v>
      </c>
      <c r="P321" s="1">
        <v>0.129</v>
      </c>
    </row>
    <row r="322" spans="1:16">
      <c r="A322" s="1" t="s">
        <v>70</v>
      </c>
      <c r="B322" s="1" t="s">
        <v>167</v>
      </c>
      <c r="C322" s="1">
        <v>108</v>
      </c>
      <c r="D322" s="1" t="s">
        <v>20</v>
      </c>
      <c r="E322" s="1"/>
      <c r="F322" s="1"/>
      <c r="G322" s="1"/>
      <c r="H322" s="1">
        <v>6</v>
      </c>
      <c r="I322" s="1">
        <v>5812</v>
      </c>
      <c r="J322" s="1">
        <v>6385</v>
      </c>
      <c r="K322" s="1">
        <v>3976</v>
      </c>
      <c r="L322" s="1">
        <v>110.036</v>
      </c>
      <c r="M322" s="1">
        <v>1.2090000000000001</v>
      </c>
      <c r="N322" s="1">
        <v>0.22600000000000001</v>
      </c>
      <c r="O322" s="1">
        <v>2.0052E-3</v>
      </c>
      <c r="P322" s="1">
        <v>0</v>
      </c>
    </row>
    <row r="323" spans="1:16">
      <c r="A323" s="1" t="s">
        <v>70</v>
      </c>
      <c r="B323" s="1" t="s">
        <v>168</v>
      </c>
      <c r="C323" s="1">
        <v>109</v>
      </c>
      <c r="D323" s="1" t="s">
        <v>169</v>
      </c>
      <c r="E323" s="1"/>
      <c r="F323" s="1"/>
      <c r="G323" s="1"/>
      <c r="H323" s="1">
        <v>4</v>
      </c>
      <c r="I323" s="1">
        <v>5013</v>
      </c>
      <c r="J323" s="1">
        <v>5592</v>
      </c>
      <c r="K323" s="1">
        <v>3402</v>
      </c>
      <c r="L323" s="1">
        <v>57.898000000000003</v>
      </c>
      <c r="M323" s="1">
        <v>0.65100000000000002</v>
      </c>
      <c r="N323" s="1">
        <v>0.11899999999999999</v>
      </c>
      <c r="O323" s="1">
        <v>1.9999000000000002E-3</v>
      </c>
      <c r="P323" s="1">
        <v>-2.6360000000000001</v>
      </c>
    </row>
    <row r="324" spans="1:16">
      <c r="A324" s="1" t="s">
        <v>70</v>
      </c>
      <c r="B324" s="1" t="s">
        <v>168</v>
      </c>
      <c r="C324" s="1">
        <v>109</v>
      </c>
      <c r="D324" s="1" t="s">
        <v>169</v>
      </c>
      <c r="E324" s="1"/>
      <c r="F324" s="1"/>
      <c r="G324" s="1"/>
      <c r="H324" s="1">
        <v>5</v>
      </c>
      <c r="I324" s="1">
        <v>5818</v>
      </c>
      <c r="J324" s="1">
        <v>6393</v>
      </c>
      <c r="K324" s="1">
        <v>3981</v>
      </c>
      <c r="L324" s="1">
        <v>109.524</v>
      </c>
      <c r="M324" s="1">
        <v>1.2030000000000001</v>
      </c>
      <c r="N324" s="1">
        <v>0.22500000000000001</v>
      </c>
      <c r="O324" s="1">
        <v>2.0054999999999999E-3</v>
      </c>
      <c r="P324" s="1">
        <v>0.129</v>
      </c>
    </row>
    <row r="325" spans="1:16">
      <c r="A325" s="1" t="s">
        <v>70</v>
      </c>
      <c r="B325" s="1" t="s">
        <v>168</v>
      </c>
      <c r="C325" s="1">
        <v>109</v>
      </c>
      <c r="D325" s="1" t="s">
        <v>169</v>
      </c>
      <c r="E325" s="1"/>
      <c r="F325" s="1"/>
      <c r="G325" s="1"/>
      <c r="H325" s="1">
        <v>6</v>
      </c>
      <c r="I325" s="1">
        <v>5812</v>
      </c>
      <c r="J325" s="1">
        <v>6384</v>
      </c>
      <c r="K325" s="1">
        <v>3976</v>
      </c>
      <c r="L325" s="1">
        <v>109.998</v>
      </c>
      <c r="M325" s="1">
        <v>1.208</v>
      </c>
      <c r="N325" s="1">
        <v>0.22600000000000001</v>
      </c>
      <c r="O325" s="1">
        <v>2.0052E-3</v>
      </c>
      <c r="P325" s="1">
        <v>0</v>
      </c>
    </row>
    <row r="326" spans="1:16">
      <c r="A326" s="1" t="s">
        <v>70</v>
      </c>
      <c r="B326" s="1" t="s">
        <v>170</v>
      </c>
      <c r="C326" s="1">
        <v>110</v>
      </c>
      <c r="D326" s="1" t="s">
        <v>169</v>
      </c>
      <c r="E326" s="1"/>
      <c r="F326" s="1"/>
      <c r="G326" s="1"/>
      <c r="H326" s="1">
        <v>4</v>
      </c>
      <c r="I326" s="1">
        <v>5169</v>
      </c>
      <c r="J326" s="1">
        <v>5766</v>
      </c>
      <c r="K326" s="1">
        <v>3507</v>
      </c>
      <c r="L326" s="1">
        <v>59.713000000000001</v>
      </c>
      <c r="M326" s="1">
        <v>0.67100000000000004</v>
      </c>
      <c r="N326" s="1">
        <v>0.122</v>
      </c>
      <c r="O326" s="1">
        <v>1.9995E-3</v>
      </c>
      <c r="P326" s="1">
        <v>-2.8260000000000001</v>
      </c>
    </row>
    <row r="327" spans="1:16">
      <c r="A327" s="1" t="s">
        <v>70</v>
      </c>
      <c r="B327" s="1" t="s">
        <v>170</v>
      </c>
      <c r="C327" s="1">
        <v>110</v>
      </c>
      <c r="D327" s="1" t="s">
        <v>169</v>
      </c>
      <c r="E327" s="1"/>
      <c r="F327" s="1"/>
      <c r="G327" s="1"/>
      <c r="H327" s="1">
        <v>5</v>
      </c>
      <c r="I327" s="1">
        <v>5817</v>
      </c>
      <c r="J327" s="1">
        <v>6391</v>
      </c>
      <c r="K327" s="1">
        <v>3979</v>
      </c>
      <c r="L327" s="1">
        <v>109.47799999999999</v>
      </c>
      <c r="M327" s="1">
        <v>1.2030000000000001</v>
      </c>
      <c r="N327" s="1">
        <v>0.22500000000000001</v>
      </c>
      <c r="O327" s="1">
        <v>2.0056000000000002E-3</v>
      </c>
      <c r="P327" s="1">
        <v>0.17699999999999999</v>
      </c>
    </row>
    <row r="328" spans="1:16">
      <c r="A328" s="1" t="s">
        <v>70</v>
      </c>
      <c r="B328" s="1" t="s">
        <v>170</v>
      </c>
      <c r="C328" s="1">
        <v>110</v>
      </c>
      <c r="D328" s="1" t="s">
        <v>169</v>
      </c>
      <c r="E328" s="1"/>
      <c r="F328" s="1"/>
      <c r="G328" s="1"/>
      <c r="H328" s="1">
        <v>6</v>
      </c>
      <c r="I328" s="1">
        <v>5819</v>
      </c>
      <c r="J328" s="1">
        <v>6392</v>
      </c>
      <c r="K328" s="1">
        <v>3979</v>
      </c>
      <c r="L328" s="1">
        <v>110.01300000000001</v>
      </c>
      <c r="M328" s="1">
        <v>1.2090000000000001</v>
      </c>
      <c r="N328" s="1">
        <v>0.22600000000000001</v>
      </c>
      <c r="O328" s="1">
        <v>2.0052E-3</v>
      </c>
      <c r="P328" s="1">
        <v>0</v>
      </c>
    </row>
    <row r="329" spans="1:16">
      <c r="A329" s="1" t="s">
        <v>70</v>
      </c>
      <c r="B329" s="1" t="s">
        <v>171</v>
      </c>
      <c r="C329" s="1">
        <v>111</v>
      </c>
      <c r="D329" s="1" t="s">
        <v>172</v>
      </c>
      <c r="E329" s="1"/>
      <c r="F329" s="1"/>
      <c r="G329" s="1"/>
      <c r="H329" s="1">
        <v>4</v>
      </c>
      <c r="I329" s="1">
        <v>5012</v>
      </c>
      <c r="J329" s="1">
        <v>5592</v>
      </c>
      <c r="K329" s="1">
        <v>3404</v>
      </c>
      <c r="L329" s="1">
        <v>57.548999999999999</v>
      </c>
      <c r="M329" s="1">
        <v>0.64700000000000002</v>
      </c>
      <c r="N329" s="1">
        <v>0.11799999999999999</v>
      </c>
      <c r="O329" s="1">
        <v>2.0010000000000002E-3</v>
      </c>
      <c r="P329" s="1">
        <v>-2.09</v>
      </c>
    </row>
    <row r="330" spans="1:16">
      <c r="A330" s="1" t="s">
        <v>70</v>
      </c>
      <c r="B330" s="1" t="s">
        <v>171</v>
      </c>
      <c r="C330" s="1">
        <v>111</v>
      </c>
      <c r="D330" s="1" t="s">
        <v>172</v>
      </c>
      <c r="E330" s="1"/>
      <c r="F330" s="1"/>
      <c r="G330" s="1"/>
      <c r="H330" s="1">
        <v>5</v>
      </c>
      <c r="I330" s="1">
        <v>5808</v>
      </c>
      <c r="J330" s="1">
        <v>6381</v>
      </c>
      <c r="K330" s="1">
        <v>3973</v>
      </c>
      <c r="L330" s="1">
        <v>109.31100000000001</v>
      </c>
      <c r="M330" s="1">
        <v>1.2010000000000001</v>
      </c>
      <c r="N330" s="1">
        <v>0.224</v>
      </c>
      <c r="O330" s="1">
        <v>2.0054000000000001E-3</v>
      </c>
      <c r="P330" s="1">
        <v>0.11899999999999999</v>
      </c>
    </row>
    <row r="331" spans="1:16">
      <c r="A331" s="1" t="s">
        <v>70</v>
      </c>
      <c r="B331" s="1" t="s">
        <v>171</v>
      </c>
      <c r="C331" s="1">
        <v>111</v>
      </c>
      <c r="D331" s="1" t="s">
        <v>172</v>
      </c>
      <c r="E331" s="1"/>
      <c r="F331" s="1"/>
      <c r="G331" s="1"/>
      <c r="H331" s="1">
        <v>6</v>
      </c>
      <c r="I331" s="1">
        <v>5809</v>
      </c>
      <c r="J331" s="1">
        <v>6382</v>
      </c>
      <c r="K331" s="1">
        <v>3974</v>
      </c>
      <c r="L331" s="1">
        <v>109.883</v>
      </c>
      <c r="M331" s="1">
        <v>1.2070000000000001</v>
      </c>
      <c r="N331" s="1">
        <v>0.22600000000000001</v>
      </c>
      <c r="O331" s="1">
        <v>2.0052E-3</v>
      </c>
      <c r="P331" s="1">
        <v>0</v>
      </c>
    </row>
    <row r="332" spans="1:16">
      <c r="A332" s="1" t="s">
        <v>70</v>
      </c>
      <c r="B332" s="1" t="s">
        <v>173</v>
      </c>
      <c r="C332" s="1">
        <v>112</v>
      </c>
      <c r="D332" s="1" t="s">
        <v>172</v>
      </c>
      <c r="E332" s="1"/>
      <c r="F332" s="1"/>
      <c r="G332" s="1"/>
      <c r="H332" s="1">
        <v>4</v>
      </c>
      <c r="I332" s="1">
        <v>5005</v>
      </c>
      <c r="J332" s="1">
        <v>5583</v>
      </c>
      <c r="K332" s="1">
        <v>3399</v>
      </c>
      <c r="L332" s="1">
        <v>57.682000000000002</v>
      </c>
      <c r="M332" s="1">
        <v>0.64800000000000002</v>
      </c>
      <c r="N332" s="1">
        <v>0.11799999999999999</v>
      </c>
      <c r="O332" s="1">
        <v>2.0014E-3</v>
      </c>
      <c r="P332" s="1">
        <v>-1.8959999999999999</v>
      </c>
    </row>
    <row r="333" spans="1:16">
      <c r="A333" s="1" t="s">
        <v>70</v>
      </c>
      <c r="B333" s="1" t="s">
        <v>173</v>
      </c>
      <c r="C333" s="1">
        <v>112</v>
      </c>
      <c r="D333" s="1" t="s">
        <v>172</v>
      </c>
      <c r="E333" s="1"/>
      <c r="F333" s="1"/>
      <c r="G333" s="1"/>
      <c r="H333" s="1">
        <v>5</v>
      </c>
      <c r="I333" s="1">
        <v>5815</v>
      </c>
      <c r="J333" s="1">
        <v>6389</v>
      </c>
      <c r="K333" s="1">
        <v>3979</v>
      </c>
      <c r="L333" s="1">
        <v>109.505</v>
      </c>
      <c r="M333" s="1">
        <v>1.2030000000000001</v>
      </c>
      <c r="N333" s="1">
        <v>0.22500000000000001</v>
      </c>
      <c r="O333" s="1">
        <v>2.0056000000000002E-3</v>
      </c>
      <c r="P333" s="1">
        <v>0.184</v>
      </c>
    </row>
    <row r="334" spans="1:16">
      <c r="A334" s="1" t="s">
        <v>70</v>
      </c>
      <c r="B334" s="1" t="s">
        <v>173</v>
      </c>
      <c r="C334" s="1">
        <v>112</v>
      </c>
      <c r="D334" s="1" t="s">
        <v>172</v>
      </c>
      <c r="E334" s="1"/>
      <c r="F334" s="1"/>
      <c r="G334" s="1"/>
      <c r="H334" s="1">
        <v>6</v>
      </c>
      <c r="I334" s="1">
        <v>5809</v>
      </c>
      <c r="J334" s="1">
        <v>6381</v>
      </c>
      <c r="K334" s="1">
        <v>3974</v>
      </c>
      <c r="L334" s="1">
        <v>109.92</v>
      </c>
      <c r="M334" s="1">
        <v>1.208</v>
      </c>
      <c r="N334" s="1">
        <v>0.22600000000000001</v>
      </c>
      <c r="O334" s="1">
        <v>2.0052E-3</v>
      </c>
      <c r="P334" s="1">
        <v>0</v>
      </c>
    </row>
    <row r="335" spans="1:16">
      <c r="A335" s="1" t="s">
        <v>70</v>
      </c>
      <c r="B335" s="1" t="s">
        <v>174</v>
      </c>
      <c r="C335" s="1">
        <v>113</v>
      </c>
      <c r="D335" s="1" t="s">
        <v>175</v>
      </c>
      <c r="E335" s="1"/>
      <c r="F335" s="1"/>
      <c r="G335" s="1"/>
      <c r="H335" s="1">
        <v>4</v>
      </c>
      <c r="I335" s="1">
        <v>5019</v>
      </c>
      <c r="J335" s="1">
        <v>5623</v>
      </c>
      <c r="K335" s="1">
        <v>3454</v>
      </c>
      <c r="L335" s="1">
        <v>59.04</v>
      </c>
      <c r="M335" s="1">
        <v>0.67900000000000005</v>
      </c>
      <c r="N335" s="1">
        <v>0.129</v>
      </c>
      <c r="O335" s="1">
        <v>2.1372000000000001E-3</v>
      </c>
      <c r="P335" s="1">
        <v>65.822999999999993</v>
      </c>
    </row>
    <row r="336" spans="1:16">
      <c r="A336" s="1" t="s">
        <v>70</v>
      </c>
      <c r="B336" s="1" t="s">
        <v>174</v>
      </c>
      <c r="C336" s="1">
        <v>113</v>
      </c>
      <c r="D336" s="1" t="s">
        <v>175</v>
      </c>
      <c r="E336" s="1"/>
      <c r="F336" s="1"/>
      <c r="G336" s="1"/>
      <c r="H336" s="1">
        <v>5</v>
      </c>
      <c r="I336" s="1">
        <v>5820</v>
      </c>
      <c r="J336" s="1">
        <v>6395</v>
      </c>
      <c r="K336" s="1">
        <v>3982</v>
      </c>
      <c r="L336" s="1">
        <v>109.542</v>
      </c>
      <c r="M336" s="1">
        <v>1.2030000000000001</v>
      </c>
      <c r="N336" s="1">
        <v>0.22500000000000001</v>
      </c>
      <c r="O336" s="1">
        <v>2.0054999999999999E-3</v>
      </c>
      <c r="P336" s="1">
        <v>0.14000000000000001</v>
      </c>
    </row>
    <row r="337" spans="1:16">
      <c r="A337" s="1" t="s">
        <v>70</v>
      </c>
      <c r="B337" s="1" t="s">
        <v>174</v>
      </c>
      <c r="C337" s="1">
        <v>113</v>
      </c>
      <c r="D337" s="1" t="s">
        <v>175</v>
      </c>
      <c r="E337" s="1"/>
      <c r="F337" s="1"/>
      <c r="G337" s="1"/>
      <c r="H337" s="1">
        <v>6</v>
      </c>
      <c r="I337" s="1">
        <v>5815</v>
      </c>
      <c r="J337" s="1">
        <v>6389</v>
      </c>
      <c r="K337" s="1">
        <v>3978</v>
      </c>
      <c r="L337" s="1">
        <v>110.20099999999999</v>
      </c>
      <c r="M337" s="1">
        <v>1.2110000000000001</v>
      </c>
      <c r="N337" s="1">
        <v>0.22600000000000001</v>
      </c>
      <c r="O337" s="1">
        <v>2.0052E-3</v>
      </c>
      <c r="P337" s="1">
        <v>0</v>
      </c>
    </row>
    <row r="338" spans="1:16">
      <c r="A338" s="1" t="s">
        <v>70</v>
      </c>
      <c r="B338" s="1" t="s">
        <v>176</v>
      </c>
      <c r="C338" s="1">
        <v>114</v>
      </c>
      <c r="D338" s="1" t="s">
        <v>175</v>
      </c>
      <c r="E338" s="1"/>
      <c r="F338" s="1"/>
      <c r="G338" s="1"/>
      <c r="H338" s="1">
        <v>4</v>
      </c>
      <c r="I338" s="1">
        <v>5082</v>
      </c>
      <c r="J338" s="1">
        <v>5670</v>
      </c>
      <c r="K338" s="1">
        <v>3456</v>
      </c>
      <c r="L338" s="1">
        <v>58.186</v>
      </c>
      <c r="M338" s="1">
        <v>0.65400000000000003</v>
      </c>
      <c r="N338" s="1">
        <v>0.11899999999999999</v>
      </c>
      <c r="O338" s="1">
        <v>2.0041E-3</v>
      </c>
      <c r="P338" s="1">
        <v>-0.53</v>
      </c>
    </row>
    <row r="339" spans="1:16">
      <c r="A339" s="1" t="s">
        <v>70</v>
      </c>
      <c r="B339" s="1" t="s">
        <v>176</v>
      </c>
      <c r="C339" s="1">
        <v>114</v>
      </c>
      <c r="D339" s="1" t="s">
        <v>175</v>
      </c>
      <c r="E339" s="1"/>
      <c r="F339" s="1"/>
      <c r="G339" s="1"/>
      <c r="H339" s="1">
        <v>5</v>
      </c>
      <c r="I339" s="1">
        <v>5830</v>
      </c>
      <c r="J339" s="1">
        <v>6405</v>
      </c>
      <c r="K339" s="1">
        <v>3988</v>
      </c>
      <c r="L339" s="1">
        <v>109.901</v>
      </c>
      <c r="M339" s="1">
        <v>1.2070000000000001</v>
      </c>
      <c r="N339" s="1">
        <v>0.22600000000000001</v>
      </c>
      <c r="O339" s="1">
        <v>2.0054999999999999E-3</v>
      </c>
      <c r="P339" s="1">
        <v>0.14499999999999999</v>
      </c>
    </row>
    <row r="340" spans="1:16">
      <c r="A340" s="1" t="s">
        <v>70</v>
      </c>
      <c r="B340" s="1" t="s">
        <v>176</v>
      </c>
      <c r="C340" s="1">
        <v>114</v>
      </c>
      <c r="D340" s="1" t="s">
        <v>175</v>
      </c>
      <c r="E340" s="1"/>
      <c r="F340" s="1"/>
      <c r="G340" s="1"/>
      <c r="H340" s="1">
        <v>6</v>
      </c>
      <c r="I340" s="1">
        <v>5830</v>
      </c>
      <c r="J340" s="1">
        <v>6406</v>
      </c>
      <c r="K340" s="1">
        <v>3988</v>
      </c>
      <c r="L340" s="1">
        <v>110.342</v>
      </c>
      <c r="M340" s="1">
        <v>1.212</v>
      </c>
      <c r="N340" s="1">
        <v>0.22600000000000001</v>
      </c>
      <c r="O340" s="1">
        <v>2.0052E-3</v>
      </c>
      <c r="P340" s="1">
        <v>0</v>
      </c>
    </row>
    <row r="341" spans="1:16">
      <c r="A341" s="1" t="s">
        <v>70</v>
      </c>
      <c r="B341" s="1" t="s">
        <v>177</v>
      </c>
      <c r="C341" s="1">
        <v>115</v>
      </c>
      <c r="D341" s="1" t="s">
        <v>16</v>
      </c>
      <c r="E341" s="1"/>
      <c r="F341" s="1"/>
      <c r="G341" s="1"/>
      <c r="H341" s="1">
        <v>4</v>
      </c>
      <c r="I341" s="1">
        <v>4917</v>
      </c>
      <c r="J341" s="1">
        <v>5488</v>
      </c>
      <c r="K341" s="1">
        <v>3354</v>
      </c>
      <c r="L341" s="1">
        <v>56.439</v>
      </c>
      <c r="M341" s="1">
        <v>0.63400000000000001</v>
      </c>
      <c r="N341" s="1">
        <v>0.11600000000000001</v>
      </c>
      <c r="O341" s="1">
        <v>2.0103E-3</v>
      </c>
      <c r="P341" s="1">
        <v>2.5230000000000001</v>
      </c>
    </row>
    <row r="342" spans="1:16">
      <c r="A342" s="1" t="s">
        <v>70</v>
      </c>
      <c r="B342" s="1" t="s">
        <v>177</v>
      </c>
      <c r="C342" s="1">
        <v>115</v>
      </c>
      <c r="D342" s="1" t="s">
        <v>16</v>
      </c>
      <c r="E342" s="1"/>
      <c r="F342" s="1"/>
      <c r="G342" s="1"/>
      <c r="H342" s="1">
        <v>5</v>
      </c>
      <c r="I342" s="1">
        <v>5809</v>
      </c>
      <c r="J342" s="1">
        <v>6383</v>
      </c>
      <c r="K342" s="1">
        <v>3975</v>
      </c>
      <c r="L342" s="1">
        <v>109.34099999999999</v>
      </c>
      <c r="M342" s="1">
        <v>1.2010000000000001</v>
      </c>
      <c r="N342" s="1">
        <v>0.224</v>
      </c>
      <c r="O342" s="1">
        <v>2.0054999999999999E-3</v>
      </c>
      <c r="P342" s="1">
        <v>0.154</v>
      </c>
    </row>
    <row r="343" spans="1:16">
      <c r="A343" s="1" t="s">
        <v>70</v>
      </c>
      <c r="B343" s="1" t="s">
        <v>177</v>
      </c>
      <c r="C343" s="1">
        <v>115</v>
      </c>
      <c r="D343" s="1" t="s">
        <v>16</v>
      </c>
      <c r="E343" s="1"/>
      <c r="F343" s="1"/>
      <c r="G343" s="1"/>
      <c r="H343" s="1">
        <v>6</v>
      </c>
      <c r="I343" s="1">
        <v>5810</v>
      </c>
      <c r="J343" s="1">
        <v>6382</v>
      </c>
      <c r="K343" s="1">
        <v>3974</v>
      </c>
      <c r="L343" s="1">
        <v>110.021</v>
      </c>
      <c r="M343" s="1">
        <v>1.2090000000000001</v>
      </c>
      <c r="N343" s="1">
        <v>0.22600000000000001</v>
      </c>
      <c r="O343" s="1">
        <v>2.0052E-3</v>
      </c>
      <c r="P343" s="1">
        <v>0</v>
      </c>
    </row>
    <row r="344" spans="1:16">
      <c r="A344" s="1" t="s">
        <v>70</v>
      </c>
      <c r="B344" s="1" t="s">
        <v>178</v>
      </c>
      <c r="C344" s="1">
        <v>116</v>
      </c>
      <c r="D344" s="1" t="s">
        <v>16</v>
      </c>
      <c r="E344" s="1"/>
      <c r="F344" s="1"/>
      <c r="G344" s="1"/>
      <c r="H344" s="1">
        <v>4</v>
      </c>
      <c r="I344" s="1">
        <v>4939</v>
      </c>
      <c r="J344" s="1">
        <v>5512</v>
      </c>
      <c r="K344" s="1">
        <v>3369</v>
      </c>
      <c r="L344" s="1">
        <v>57.075000000000003</v>
      </c>
      <c r="M344" s="1">
        <v>0.64200000000000002</v>
      </c>
      <c r="N344" s="1">
        <v>0.11700000000000001</v>
      </c>
      <c r="O344" s="1">
        <v>2.0100000000000001E-3</v>
      </c>
      <c r="P344" s="1">
        <v>2.383</v>
      </c>
    </row>
    <row r="345" spans="1:16">
      <c r="A345" s="1" t="s">
        <v>70</v>
      </c>
      <c r="B345" s="1" t="s">
        <v>178</v>
      </c>
      <c r="C345" s="1">
        <v>116</v>
      </c>
      <c r="D345" s="1" t="s">
        <v>16</v>
      </c>
      <c r="E345" s="1"/>
      <c r="F345" s="1"/>
      <c r="G345" s="1"/>
      <c r="H345" s="1">
        <v>5</v>
      </c>
      <c r="I345" s="1">
        <v>5817</v>
      </c>
      <c r="J345" s="1">
        <v>6391</v>
      </c>
      <c r="K345" s="1">
        <v>3979</v>
      </c>
      <c r="L345" s="1">
        <v>109.773</v>
      </c>
      <c r="M345" s="1">
        <v>1.206</v>
      </c>
      <c r="N345" s="1">
        <v>0.22500000000000001</v>
      </c>
      <c r="O345" s="1">
        <v>2.0052999999999998E-3</v>
      </c>
      <c r="P345" s="1">
        <v>5.0999999999999997E-2</v>
      </c>
    </row>
    <row r="346" spans="1:16">
      <c r="A346" s="1" t="s">
        <v>70</v>
      </c>
      <c r="B346" s="1" t="s">
        <v>178</v>
      </c>
      <c r="C346" s="1">
        <v>116</v>
      </c>
      <c r="D346" s="1" t="s">
        <v>16</v>
      </c>
      <c r="E346" s="1"/>
      <c r="F346" s="1"/>
      <c r="G346" s="1"/>
      <c r="H346" s="1">
        <v>6</v>
      </c>
      <c r="I346" s="1">
        <v>5816</v>
      </c>
      <c r="J346" s="1">
        <v>6390</v>
      </c>
      <c r="K346" s="1">
        <v>3979</v>
      </c>
      <c r="L346" s="1">
        <v>110.04300000000001</v>
      </c>
      <c r="M346" s="1">
        <v>1.2090000000000001</v>
      </c>
      <c r="N346" s="1">
        <v>0.22600000000000001</v>
      </c>
      <c r="O346" s="1">
        <v>2.0052E-3</v>
      </c>
      <c r="P346" s="1">
        <v>0</v>
      </c>
    </row>
    <row r="347" spans="1:16">
      <c r="A347" s="1" t="s">
        <v>70</v>
      </c>
      <c r="B347" s="1" t="s">
        <v>179</v>
      </c>
      <c r="C347" s="1">
        <v>117</v>
      </c>
      <c r="D347" s="1" t="s">
        <v>16</v>
      </c>
      <c r="E347" s="1"/>
      <c r="F347" s="1"/>
      <c r="G347" s="1"/>
      <c r="H347" s="1">
        <v>4</v>
      </c>
      <c r="I347" s="1">
        <v>5021</v>
      </c>
      <c r="J347" s="1">
        <v>5601</v>
      </c>
      <c r="K347" s="1">
        <v>3424</v>
      </c>
      <c r="L347" s="1">
        <v>58.091000000000001</v>
      </c>
      <c r="M347" s="1">
        <v>0.65300000000000002</v>
      </c>
      <c r="N347" s="1">
        <v>0.12</v>
      </c>
      <c r="O347" s="1">
        <v>2.0100999999999999E-3</v>
      </c>
      <c r="P347" s="1">
        <v>2.419</v>
      </c>
    </row>
    <row r="348" spans="1:16">
      <c r="A348" s="1" t="s">
        <v>70</v>
      </c>
      <c r="B348" s="1" t="s">
        <v>179</v>
      </c>
      <c r="C348" s="1">
        <v>117</v>
      </c>
      <c r="D348" s="1" t="s">
        <v>16</v>
      </c>
      <c r="E348" s="1"/>
      <c r="F348" s="1"/>
      <c r="G348" s="1"/>
      <c r="H348" s="1">
        <v>5</v>
      </c>
      <c r="I348" s="1">
        <v>5813</v>
      </c>
      <c r="J348" s="1">
        <v>6386</v>
      </c>
      <c r="K348" s="1">
        <v>3977</v>
      </c>
      <c r="L348" s="1">
        <v>109.512</v>
      </c>
      <c r="M348" s="1">
        <v>1.2030000000000001</v>
      </c>
      <c r="N348" s="1">
        <v>0.22500000000000001</v>
      </c>
      <c r="O348" s="1">
        <v>2.0054999999999999E-3</v>
      </c>
      <c r="P348" s="1">
        <v>0.155</v>
      </c>
    </row>
    <row r="349" spans="1:16">
      <c r="A349" s="1" t="s">
        <v>70</v>
      </c>
      <c r="B349" s="1" t="s">
        <v>179</v>
      </c>
      <c r="C349" s="1">
        <v>117</v>
      </c>
      <c r="D349" s="1" t="s">
        <v>16</v>
      </c>
      <c r="E349" s="1"/>
      <c r="F349" s="1"/>
      <c r="G349" s="1"/>
      <c r="H349" s="1">
        <v>6</v>
      </c>
      <c r="I349" s="1">
        <v>5812</v>
      </c>
      <c r="J349" s="1">
        <v>6385</v>
      </c>
      <c r="K349" s="1">
        <v>3975</v>
      </c>
      <c r="L349" s="1">
        <v>109.953</v>
      </c>
      <c r="M349" s="1">
        <v>1.208</v>
      </c>
      <c r="N349" s="1">
        <v>0.22600000000000001</v>
      </c>
      <c r="O349" s="1">
        <v>2.0052E-3</v>
      </c>
      <c r="P349" s="1">
        <v>0</v>
      </c>
    </row>
    <row r="350" spans="1:16">
      <c r="A350" s="1" t="s">
        <v>70</v>
      </c>
      <c r="B350" s="1" t="s">
        <v>180</v>
      </c>
      <c r="C350" s="1">
        <v>118</v>
      </c>
      <c r="D350" s="1" t="s">
        <v>20</v>
      </c>
      <c r="E350" s="1"/>
      <c r="F350" s="1"/>
      <c r="G350" s="1"/>
      <c r="H350" s="1">
        <v>4</v>
      </c>
      <c r="I350" s="1">
        <v>5036</v>
      </c>
      <c r="J350" s="1">
        <v>5619</v>
      </c>
      <c r="K350" s="1">
        <v>3413</v>
      </c>
      <c r="L350" s="1">
        <v>57.786999999999999</v>
      </c>
      <c r="M350" s="1">
        <v>0.64900000000000002</v>
      </c>
      <c r="N350" s="1">
        <v>0.11799999999999999</v>
      </c>
      <c r="O350" s="1">
        <v>1.9967000000000001E-3</v>
      </c>
      <c r="P350" s="1">
        <v>-4.2539999999999996</v>
      </c>
    </row>
    <row r="351" spans="1:16">
      <c r="A351" s="1" t="s">
        <v>70</v>
      </c>
      <c r="B351" s="1" t="s">
        <v>180</v>
      </c>
      <c r="C351" s="1">
        <v>118</v>
      </c>
      <c r="D351" s="1" t="s">
        <v>20</v>
      </c>
      <c r="E351" s="1"/>
      <c r="F351" s="1"/>
      <c r="G351" s="1"/>
      <c r="H351" s="1">
        <v>5</v>
      </c>
      <c r="I351" s="1">
        <v>5800</v>
      </c>
      <c r="J351" s="1">
        <v>6372</v>
      </c>
      <c r="K351" s="1">
        <v>3967</v>
      </c>
      <c r="L351" s="1">
        <v>109.252</v>
      </c>
      <c r="M351" s="1">
        <v>1.2</v>
      </c>
      <c r="N351" s="1">
        <v>0.224</v>
      </c>
      <c r="O351" s="1">
        <v>2.0056000000000002E-3</v>
      </c>
      <c r="P351" s="1">
        <v>0.20499999999999999</v>
      </c>
    </row>
    <row r="352" spans="1:16">
      <c r="A352" s="1" t="s">
        <v>70</v>
      </c>
      <c r="B352" s="1" t="s">
        <v>180</v>
      </c>
      <c r="C352" s="1">
        <v>118</v>
      </c>
      <c r="D352" s="1" t="s">
        <v>20</v>
      </c>
      <c r="E352" s="1"/>
      <c r="F352" s="1"/>
      <c r="G352" s="1"/>
      <c r="H352" s="1">
        <v>6</v>
      </c>
      <c r="I352" s="1">
        <v>5809</v>
      </c>
      <c r="J352" s="1">
        <v>6382</v>
      </c>
      <c r="K352" s="1">
        <v>3973</v>
      </c>
      <c r="L352" s="1">
        <v>109.952</v>
      </c>
      <c r="M352" s="1">
        <v>1.208</v>
      </c>
      <c r="N352" s="1">
        <v>0.22600000000000001</v>
      </c>
      <c r="O352" s="1">
        <v>2.0052E-3</v>
      </c>
      <c r="P352" s="1">
        <v>0</v>
      </c>
    </row>
    <row r="353" spans="1:16">
      <c r="A353" s="1" t="s">
        <v>70</v>
      </c>
      <c r="B353" s="1" t="s">
        <v>181</v>
      </c>
      <c r="C353" s="1">
        <v>119</v>
      </c>
      <c r="D353" s="1" t="s">
        <v>20</v>
      </c>
      <c r="E353" s="1"/>
      <c r="F353" s="1"/>
      <c r="G353" s="1"/>
      <c r="H353" s="1">
        <v>4</v>
      </c>
      <c r="I353" s="1">
        <v>4990</v>
      </c>
      <c r="J353" s="1">
        <v>5567</v>
      </c>
      <c r="K353" s="1">
        <v>3381</v>
      </c>
      <c r="L353" s="1">
        <v>57.372</v>
      </c>
      <c r="M353" s="1">
        <v>0.64500000000000002</v>
      </c>
      <c r="N353" s="1">
        <v>0.11700000000000001</v>
      </c>
      <c r="O353" s="1">
        <v>1.9967000000000001E-3</v>
      </c>
      <c r="P353" s="1">
        <v>-4.2560000000000002</v>
      </c>
    </row>
    <row r="354" spans="1:16">
      <c r="A354" s="1" t="s">
        <v>70</v>
      </c>
      <c r="B354" s="1" t="s">
        <v>181</v>
      </c>
      <c r="C354" s="1">
        <v>119</v>
      </c>
      <c r="D354" s="1" t="s">
        <v>20</v>
      </c>
      <c r="E354" s="1"/>
      <c r="F354" s="1"/>
      <c r="G354" s="1"/>
      <c r="H354" s="1">
        <v>5</v>
      </c>
      <c r="I354" s="1">
        <v>5803</v>
      </c>
      <c r="J354" s="1">
        <v>6375</v>
      </c>
      <c r="K354" s="1">
        <v>3970</v>
      </c>
      <c r="L354" s="1">
        <v>109.163</v>
      </c>
      <c r="M354" s="1">
        <v>1.1990000000000001</v>
      </c>
      <c r="N354" s="1">
        <v>0.224</v>
      </c>
      <c r="O354" s="1">
        <v>2.0054999999999999E-3</v>
      </c>
      <c r="P354" s="1">
        <v>0.17</v>
      </c>
    </row>
    <row r="355" spans="1:16">
      <c r="A355" s="1" t="s">
        <v>70</v>
      </c>
      <c r="B355" s="1" t="s">
        <v>181</v>
      </c>
      <c r="C355" s="1">
        <v>119</v>
      </c>
      <c r="D355" s="1" t="s">
        <v>20</v>
      </c>
      <c r="E355" s="1"/>
      <c r="F355" s="1"/>
      <c r="G355" s="1"/>
      <c r="H355" s="1">
        <v>6</v>
      </c>
      <c r="I355" s="1">
        <v>5800</v>
      </c>
      <c r="J355" s="1">
        <v>6372</v>
      </c>
      <c r="K355" s="1">
        <v>3968</v>
      </c>
      <c r="L355" s="1">
        <v>109.59699999999999</v>
      </c>
      <c r="M355" s="1">
        <v>1.204</v>
      </c>
      <c r="N355" s="1">
        <v>0.22500000000000001</v>
      </c>
      <c r="O355" s="1">
        <v>2.0052E-3</v>
      </c>
      <c r="P355" s="1">
        <v>0</v>
      </c>
    </row>
    <row r="356" spans="1:16">
      <c r="A356" s="1" t="s">
        <v>70</v>
      </c>
      <c r="B356" s="1" t="s">
        <v>182</v>
      </c>
      <c r="C356" s="1">
        <v>120</v>
      </c>
      <c r="D356" s="1" t="s">
        <v>20</v>
      </c>
      <c r="E356" s="1"/>
      <c r="F356" s="1"/>
      <c r="G356" s="1"/>
      <c r="H356" s="1">
        <v>4</v>
      </c>
      <c r="I356" s="1">
        <v>4926</v>
      </c>
      <c r="J356" s="1">
        <v>5495</v>
      </c>
      <c r="K356" s="1">
        <v>3336</v>
      </c>
      <c r="L356" s="1">
        <v>56.843000000000004</v>
      </c>
      <c r="M356" s="1">
        <v>0.63900000000000001</v>
      </c>
      <c r="N356" s="1">
        <v>0.11600000000000001</v>
      </c>
      <c r="O356" s="1">
        <v>1.9964000000000002E-3</v>
      </c>
      <c r="P356" s="1">
        <v>-4.38</v>
      </c>
    </row>
    <row r="357" spans="1:16">
      <c r="A357" s="1" t="s">
        <v>70</v>
      </c>
      <c r="B357" s="1" t="s">
        <v>182</v>
      </c>
      <c r="C357" s="1">
        <v>120</v>
      </c>
      <c r="D357" s="1" t="s">
        <v>20</v>
      </c>
      <c r="E357" s="1"/>
      <c r="F357" s="1"/>
      <c r="G357" s="1"/>
      <c r="H357" s="1">
        <v>5</v>
      </c>
      <c r="I357" s="1">
        <v>5806</v>
      </c>
      <c r="J357" s="1">
        <v>6378</v>
      </c>
      <c r="K357" s="1">
        <v>3971</v>
      </c>
      <c r="L357" s="1">
        <v>109.047</v>
      </c>
      <c r="M357" s="1">
        <v>1.198</v>
      </c>
      <c r="N357" s="1">
        <v>0.224</v>
      </c>
      <c r="O357" s="1">
        <v>2.0054000000000001E-3</v>
      </c>
      <c r="P357" s="1">
        <v>0.10199999999999999</v>
      </c>
    </row>
    <row r="358" spans="1:16">
      <c r="A358" s="1" t="s">
        <v>70</v>
      </c>
      <c r="B358" s="1" t="s">
        <v>182</v>
      </c>
      <c r="C358" s="1">
        <v>120</v>
      </c>
      <c r="D358" s="1" t="s">
        <v>20</v>
      </c>
      <c r="E358" s="1"/>
      <c r="F358" s="1"/>
      <c r="G358" s="1"/>
      <c r="H358" s="1">
        <v>6</v>
      </c>
      <c r="I358" s="1">
        <v>5813</v>
      </c>
      <c r="J358" s="1">
        <v>6386</v>
      </c>
      <c r="K358" s="1">
        <v>3976</v>
      </c>
      <c r="L358" s="1">
        <v>110.042</v>
      </c>
      <c r="M358" s="1">
        <v>1.2090000000000001</v>
      </c>
      <c r="N358" s="1">
        <v>0.22600000000000001</v>
      </c>
      <c r="O358" s="1">
        <v>2.0052E-3</v>
      </c>
      <c r="P358" s="1">
        <v>0</v>
      </c>
    </row>
    <row r="359" spans="1:16">
      <c r="A359" s="1" t="s">
        <v>70</v>
      </c>
      <c r="B359" s="1" t="s">
        <v>183</v>
      </c>
      <c r="C359" s="1">
        <v>121</v>
      </c>
      <c r="D359" s="1" t="s">
        <v>24</v>
      </c>
      <c r="E359" s="1"/>
      <c r="F359" s="1"/>
      <c r="G359" s="1"/>
      <c r="H359" s="1">
        <v>4</v>
      </c>
      <c r="I359" s="1">
        <v>5019</v>
      </c>
      <c r="J359" s="1">
        <v>5599</v>
      </c>
      <c r="K359" s="1">
        <v>3381</v>
      </c>
      <c r="L359" s="1">
        <v>58.03</v>
      </c>
      <c r="M359" s="1">
        <v>0.65200000000000002</v>
      </c>
      <c r="N359" s="1">
        <v>0.11799999999999999</v>
      </c>
      <c r="O359" s="1">
        <v>1.9853000000000002E-3</v>
      </c>
      <c r="P359" s="1">
        <v>-9.9309999999999992</v>
      </c>
    </row>
    <row r="360" spans="1:16">
      <c r="A360" s="1" t="s">
        <v>70</v>
      </c>
      <c r="B360" s="1" t="s">
        <v>183</v>
      </c>
      <c r="C360" s="1">
        <v>121</v>
      </c>
      <c r="D360" s="1" t="s">
        <v>24</v>
      </c>
      <c r="E360" s="1"/>
      <c r="F360" s="1"/>
      <c r="G360" s="1"/>
      <c r="H360" s="1">
        <v>5</v>
      </c>
      <c r="I360" s="1">
        <v>5798</v>
      </c>
      <c r="J360" s="1">
        <v>6370</v>
      </c>
      <c r="K360" s="1">
        <v>3966</v>
      </c>
      <c r="L360" s="1">
        <v>109.223</v>
      </c>
      <c r="M360" s="1">
        <v>1.2</v>
      </c>
      <c r="N360" s="1">
        <v>0.224</v>
      </c>
      <c r="O360" s="1">
        <v>2.0054000000000001E-3</v>
      </c>
      <c r="P360" s="1">
        <v>8.5999999999999993E-2</v>
      </c>
    </row>
    <row r="361" spans="1:16">
      <c r="A361" s="1" t="s">
        <v>70</v>
      </c>
      <c r="B361" s="1" t="s">
        <v>183</v>
      </c>
      <c r="C361" s="1">
        <v>121</v>
      </c>
      <c r="D361" s="1" t="s">
        <v>24</v>
      </c>
      <c r="E361" s="1"/>
      <c r="F361" s="1"/>
      <c r="G361" s="1"/>
      <c r="H361" s="1">
        <v>6</v>
      </c>
      <c r="I361" s="1">
        <v>5797</v>
      </c>
      <c r="J361" s="1">
        <v>6368</v>
      </c>
      <c r="K361" s="1">
        <v>3965</v>
      </c>
      <c r="L361" s="1">
        <v>109.52800000000001</v>
      </c>
      <c r="M361" s="1">
        <v>1.2030000000000001</v>
      </c>
      <c r="N361" s="1">
        <v>0.22500000000000001</v>
      </c>
      <c r="O361" s="1">
        <v>2.0052E-3</v>
      </c>
      <c r="P361" s="1">
        <v>0</v>
      </c>
    </row>
    <row r="362" spans="1:16">
      <c r="A362" s="1" t="s">
        <v>70</v>
      </c>
      <c r="B362" s="1" t="s">
        <v>184</v>
      </c>
      <c r="C362" s="1">
        <v>122</v>
      </c>
      <c r="D362" s="1" t="s">
        <v>24</v>
      </c>
      <c r="E362" s="1"/>
      <c r="F362" s="1"/>
      <c r="G362" s="1"/>
      <c r="H362" s="1">
        <v>4</v>
      </c>
      <c r="I362" s="1">
        <v>4920</v>
      </c>
      <c r="J362" s="1">
        <v>5488</v>
      </c>
      <c r="K362" s="1">
        <v>3313</v>
      </c>
      <c r="L362" s="1">
        <v>56.542999999999999</v>
      </c>
      <c r="M362" s="1">
        <v>0.63500000000000001</v>
      </c>
      <c r="N362" s="1">
        <v>0.115</v>
      </c>
      <c r="O362" s="1">
        <v>1.9846999999999998E-3</v>
      </c>
      <c r="P362" s="1">
        <v>-10.24</v>
      </c>
    </row>
    <row r="363" spans="1:16">
      <c r="A363" s="1" t="s">
        <v>70</v>
      </c>
      <c r="B363" s="1" t="s">
        <v>184</v>
      </c>
      <c r="C363" s="1">
        <v>122</v>
      </c>
      <c r="D363" s="1" t="s">
        <v>24</v>
      </c>
      <c r="E363" s="1"/>
      <c r="F363" s="1"/>
      <c r="G363" s="1"/>
      <c r="H363" s="1">
        <v>5</v>
      </c>
      <c r="I363" s="1">
        <v>5801</v>
      </c>
      <c r="J363" s="1">
        <v>6372</v>
      </c>
      <c r="K363" s="1">
        <v>3968</v>
      </c>
      <c r="L363" s="1">
        <v>109.407</v>
      </c>
      <c r="M363" s="1">
        <v>1.202</v>
      </c>
      <c r="N363" s="1">
        <v>0.22500000000000001</v>
      </c>
      <c r="O363" s="1">
        <v>2.0054999999999999E-3</v>
      </c>
      <c r="P363" s="1">
        <v>0.14399999999999999</v>
      </c>
    </row>
    <row r="364" spans="1:16">
      <c r="A364" s="1" t="s">
        <v>70</v>
      </c>
      <c r="B364" s="1" t="s">
        <v>184</v>
      </c>
      <c r="C364" s="1">
        <v>122</v>
      </c>
      <c r="D364" s="1" t="s">
        <v>24</v>
      </c>
      <c r="E364" s="1"/>
      <c r="F364" s="1"/>
      <c r="G364" s="1"/>
      <c r="H364" s="1">
        <v>6</v>
      </c>
      <c r="I364" s="1">
        <v>5798</v>
      </c>
      <c r="J364" s="1">
        <v>6370</v>
      </c>
      <c r="K364" s="1">
        <v>3965</v>
      </c>
      <c r="L364" s="1">
        <v>109.74</v>
      </c>
      <c r="M364" s="1">
        <v>1.206</v>
      </c>
      <c r="N364" s="1">
        <v>0.22500000000000001</v>
      </c>
      <c r="O364" s="1">
        <v>2.0052E-3</v>
      </c>
      <c r="P364" s="1">
        <v>0</v>
      </c>
    </row>
    <row r="365" spans="1:16">
      <c r="A365" s="1" t="s">
        <v>70</v>
      </c>
      <c r="B365" s="1" t="s">
        <v>185</v>
      </c>
      <c r="C365" s="1">
        <v>123</v>
      </c>
      <c r="D365" s="1" t="s">
        <v>24</v>
      </c>
      <c r="E365" s="1"/>
      <c r="F365" s="1"/>
      <c r="G365" s="1"/>
      <c r="H365" s="1">
        <v>4</v>
      </c>
      <c r="I365" s="1">
        <v>4943</v>
      </c>
      <c r="J365" s="1">
        <v>5515</v>
      </c>
      <c r="K365" s="1">
        <v>3330</v>
      </c>
      <c r="L365" s="1">
        <v>57.231000000000002</v>
      </c>
      <c r="M365" s="1">
        <v>0.64300000000000002</v>
      </c>
      <c r="N365" s="1">
        <v>0.11600000000000001</v>
      </c>
      <c r="O365" s="1">
        <v>1.9857999999999998E-3</v>
      </c>
      <c r="P365" s="1">
        <v>-9.6869999999999994</v>
      </c>
    </row>
    <row r="366" spans="1:16">
      <c r="A366" s="1" t="s">
        <v>70</v>
      </c>
      <c r="B366" s="1" t="s">
        <v>185</v>
      </c>
      <c r="C366" s="1">
        <v>123</v>
      </c>
      <c r="D366" s="1" t="s">
        <v>24</v>
      </c>
      <c r="E366" s="1"/>
      <c r="F366" s="1"/>
      <c r="G366" s="1"/>
      <c r="H366" s="1">
        <v>5</v>
      </c>
      <c r="I366" s="1">
        <v>5811</v>
      </c>
      <c r="J366" s="1">
        <v>6384</v>
      </c>
      <c r="K366" s="1">
        <v>3975</v>
      </c>
      <c r="L366" s="1">
        <v>109.27200000000001</v>
      </c>
      <c r="M366" s="1">
        <v>1.2</v>
      </c>
      <c r="N366" s="1">
        <v>0.224</v>
      </c>
      <c r="O366" s="1">
        <v>2.0056000000000002E-3</v>
      </c>
      <c r="P366" s="1">
        <v>0.17699999999999999</v>
      </c>
    </row>
    <row r="367" spans="1:16">
      <c r="A367" s="1" t="s">
        <v>70</v>
      </c>
      <c r="B367" s="1" t="s">
        <v>185</v>
      </c>
      <c r="C367" s="1">
        <v>123</v>
      </c>
      <c r="D367" s="1" t="s">
        <v>24</v>
      </c>
      <c r="E367" s="1"/>
      <c r="F367" s="1"/>
      <c r="G367" s="1"/>
      <c r="H367" s="1">
        <v>6</v>
      </c>
      <c r="I367" s="1">
        <v>5806</v>
      </c>
      <c r="J367" s="1">
        <v>6378</v>
      </c>
      <c r="K367" s="1">
        <v>3972</v>
      </c>
      <c r="L367" s="1">
        <v>109.986</v>
      </c>
      <c r="M367" s="1">
        <v>1.208</v>
      </c>
      <c r="N367" s="1">
        <v>0.22600000000000001</v>
      </c>
      <c r="O367" s="1">
        <v>2.0052E-3</v>
      </c>
      <c r="P367" s="1">
        <v>0</v>
      </c>
    </row>
    <row r="368" spans="1:16">
      <c r="A368" s="1" t="s">
        <v>70</v>
      </c>
      <c r="B368" s="1" t="s">
        <v>186</v>
      </c>
      <c r="C368" s="1">
        <v>124</v>
      </c>
      <c r="D368" s="1" t="s">
        <v>28</v>
      </c>
      <c r="E368" s="1"/>
      <c r="F368" s="1"/>
      <c r="G368" s="1"/>
      <c r="H368" s="1">
        <v>4</v>
      </c>
      <c r="I368" s="1">
        <v>4925</v>
      </c>
      <c r="J368" s="1">
        <v>5494</v>
      </c>
      <c r="K368" s="1">
        <v>3314</v>
      </c>
      <c r="L368" s="1">
        <v>56.674999999999997</v>
      </c>
      <c r="M368" s="1">
        <v>0.63700000000000001</v>
      </c>
      <c r="N368" s="1">
        <v>0.115</v>
      </c>
      <c r="O368" s="1">
        <v>1.9827E-3</v>
      </c>
      <c r="P368" s="1">
        <v>-11.224</v>
      </c>
    </row>
    <row r="369" spans="1:16">
      <c r="A369" s="1" t="s">
        <v>70</v>
      </c>
      <c r="B369" s="1" t="s">
        <v>186</v>
      </c>
      <c r="C369" s="1">
        <v>124</v>
      </c>
      <c r="D369" s="1" t="s">
        <v>28</v>
      </c>
      <c r="E369" s="1"/>
      <c r="F369" s="1"/>
      <c r="G369" s="1"/>
      <c r="H369" s="1">
        <v>5</v>
      </c>
      <c r="I369" s="1">
        <v>5817</v>
      </c>
      <c r="J369" s="1">
        <v>6390</v>
      </c>
      <c r="K369" s="1">
        <v>3978</v>
      </c>
      <c r="L369" s="1">
        <v>109.577</v>
      </c>
      <c r="M369" s="1">
        <v>1.204</v>
      </c>
      <c r="N369" s="1">
        <v>0.22500000000000001</v>
      </c>
      <c r="O369" s="1">
        <v>2.0054000000000001E-3</v>
      </c>
      <c r="P369" s="1">
        <v>0.12</v>
      </c>
    </row>
    <row r="370" spans="1:16">
      <c r="A370" s="1" t="s">
        <v>70</v>
      </c>
      <c r="B370" s="1" t="s">
        <v>186</v>
      </c>
      <c r="C370" s="1">
        <v>124</v>
      </c>
      <c r="D370" s="1" t="s">
        <v>28</v>
      </c>
      <c r="E370" s="1"/>
      <c r="F370" s="1"/>
      <c r="G370" s="1"/>
      <c r="H370" s="1">
        <v>6</v>
      </c>
      <c r="I370" s="1">
        <v>5817</v>
      </c>
      <c r="J370" s="1">
        <v>6391</v>
      </c>
      <c r="K370" s="1">
        <v>3979</v>
      </c>
      <c r="L370" s="1">
        <v>110.143</v>
      </c>
      <c r="M370" s="1">
        <v>1.21</v>
      </c>
      <c r="N370" s="1">
        <v>0.22600000000000001</v>
      </c>
      <c r="O370" s="1">
        <v>2.0052E-3</v>
      </c>
      <c r="P370" s="1">
        <v>0</v>
      </c>
    </row>
    <row r="371" spans="1:16">
      <c r="A371" s="1" t="s">
        <v>70</v>
      </c>
      <c r="B371" s="1" t="s">
        <v>187</v>
      </c>
      <c r="C371" s="1">
        <v>125</v>
      </c>
      <c r="D371" s="1" t="s">
        <v>28</v>
      </c>
      <c r="E371" s="1"/>
      <c r="F371" s="1"/>
      <c r="G371" s="1"/>
      <c r="H371" s="1">
        <v>4</v>
      </c>
      <c r="I371" s="1">
        <v>5016</v>
      </c>
      <c r="J371" s="1">
        <v>5595</v>
      </c>
      <c r="K371" s="1">
        <v>3374</v>
      </c>
      <c r="L371" s="1">
        <v>57.756</v>
      </c>
      <c r="M371" s="1">
        <v>0.64900000000000002</v>
      </c>
      <c r="N371" s="1">
        <v>0.11700000000000001</v>
      </c>
      <c r="O371" s="1">
        <v>1.9821999999999999E-3</v>
      </c>
      <c r="P371" s="1">
        <v>-11.452999999999999</v>
      </c>
    </row>
    <row r="372" spans="1:16">
      <c r="A372" s="1" t="s">
        <v>70</v>
      </c>
      <c r="B372" s="1" t="s">
        <v>187</v>
      </c>
      <c r="C372" s="1">
        <v>125</v>
      </c>
      <c r="D372" s="1" t="s">
        <v>28</v>
      </c>
      <c r="E372" s="1"/>
      <c r="F372" s="1"/>
      <c r="G372" s="1"/>
      <c r="H372" s="1">
        <v>5</v>
      </c>
      <c r="I372" s="1">
        <v>5797</v>
      </c>
      <c r="J372" s="1">
        <v>6368</v>
      </c>
      <c r="K372" s="1">
        <v>3965</v>
      </c>
      <c r="L372" s="1">
        <v>109.227</v>
      </c>
      <c r="M372" s="1">
        <v>1.2</v>
      </c>
      <c r="N372" s="1">
        <v>0.224</v>
      </c>
      <c r="O372" s="1">
        <v>2.0054999999999999E-3</v>
      </c>
      <c r="P372" s="1">
        <v>0.14699999999999999</v>
      </c>
    </row>
    <row r="373" spans="1:16">
      <c r="A373" s="1" t="s">
        <v>70</v>
      </c>
      <c r="B373" s="1" t="s">
        <v>187</v>
      </c>
      <c r="C373" s="1">
        <v>125</v>
      </c>
      <c r="D373" s="1" t="s">
        <v>28</v>
      </c>
      <c r="E373" s="1"/>
      <c r="F373" s="1"/>
      <c r="G373" s="1"/>
      <c r="H373" s="1">
        <v>6</v>
      </c>
      <c r="I373" s="1">
        <v>5798</v>
      </c>
      <c r="J373" s="1">
        <v>6369</v>
      </c>
      <c r="K373" s="1">
        <v>3965</v>
      </c>
      <c r="L373" s="1">
        <v>109.53400000000001</v>
      </c>
      <c r="M373" s="1">
        <v>1.2030000000000001</v>
      </c>
      <c r="N373" s="1">
        <v>0.22500000000000001</v>
      </c>
      <c r="O373" s="1">
        <v>2.0052E-3</v>
      </c>
      <c r="P373" s="1">
        <v>0</v>
      </c>
    </row>
    <row r="374" spans="1:16">
      <c r="A374" s="1" t="s">
        <v>70</v>
      </c>
      <c r="B374" s="1" t="s">
        <v>188</v>
      </c>
      <c r="C374" s="1">
        <v>126</v>
      </c>
      <c r="D374" s="1" t="s">
        <v>28</v>
      </c>
      <c r="E374" s="1"/>
      <c r="F374" s="1"/>
      <c r="G374" s="1"/>
      <c r="H374" s="1">
        <v>4</v>
      </c>
      <c r="I374" s="1">
        <v>4961</v>
      </c>
      <c r="J374" s="1">
        <v>5534</v>
      </c>
      <c r="K374" s="1">
        <v>3337</v>
      </c>
      <c r="L374" s="1">
        <v>57.070999999999998</v>
      </c>
      <c r="M374" s="1">
        <v>0.64100000000000001</v>
      </c>
      <c r="N374" s="1">
        <v>0.11600000000000001</v>
      </c>
      <c r="O374" s="1">
        <v>1.9824999999999999E-3</v>
      </c>
      <c r="P374" s="1">
        <v>-11.340999999999999</v>
      </c>
    </row>
    <row r="375" spans="1:16">
      <c r="A375" s="1" t="s">
        <v>70</v>
      </c>
      <c r="B375" s="1" t="s">
        <v>188</v>
      </c>
      <c r="C375" s="1">
        <v>126</v>
      </c>
      <c r="D375" s="1" t="s">
        <v>28</v>
      </c>
      <c r="E375" s="1"/>
      <c r="F375" s="1"/>
      <c r="G375" s="1"/>
      <c r="H375" s="1">
        <v>5</v>
      </c>
      <c r="I375" s="1">
        <v>5803</v>
      </c>
      <c r="J375" s="1">
        <v>6376</v>
      </c>
      <c r="K375" s="1">
        <v>3970</v>
      </c>
      <c r="L375" s="1">
        <v>109.33499999999999</v>
      </c>
      <c r="M375" s="1">
        <v>1.2010000000000001</v>
      </c>
      <c r="N375" s="1">
        <v>0.224</v>
      </c>
      <c r="O375" s="1">
        <v>2.0054999999999999E-3</v>
      </c>
      <c r="P375" s="1">
        <v>0.17100000000000001</v>
      </c>
    </row>
    <row r="376" spans="1:16">
      <c r="A376" s="1" t="s">
        <v>70</v>
      </c>
      <c r="B376" s="1" t="s">
        <v>188</v>
      </c>
      <c r="C376" s="1">
        <v>126</v>
      </c>
      <c r="D376" s="1" t="s">
        <v>28</v>
      </c>
      <c r="E376" s="1"/>
      <c r="F376" s="1"/>
      <c r="G376" s="1"/>
      <c r="H376" s="1">
        <v>6</v>
      </c>
      <c r="I376" s="1">
        <v>5805</v>
      </c>
      <c r="J376" s="1">
        <v>6377</v>
      </c>
      <c r="K376" s="1">
        <v>3970</v>
      </c>
      <c r="L376" s="1">
        <v>110.21599999999999</v>
      </c>
      <c r="M376" s="1">
        <v>1.2110000000000001</v>
      </c>
      <c r="N376" s="1">
        <v>0.22600000000000001</v>
      </c>
      <c r="O376" s="1">
        <v>2.0052E-3</v>
      </c>
      <c r="P376" s="1">
        <v>0</v>
      </c>
    </row>
  </sheetData>
  <autoFilter ref="A1:P376" xr:uid="{00000000-0009-0000-0000-000001000000}"/>
  <pageMargins left="0.75" right="0.75" top="1" bottom="1" header="0.5" footer="0.5"/>
  <pageSetup paperSize="9" orientation="portrait"/>
  <headerFooter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W32"/>
  <sheetViews>
    <sheetView workbookViewId="0">
      <selection activeCell="D5" sqref="D5:E5"/>
    </sheetView>
  </sheetViews>
  <sheetFormatPr defaultRowHeight="12.75" customHeight="1"/>
  <cols>
    <col min="1" max="3" width="9.140625" style="2" customWidth="1"/>
    <col min="4" max="5" width="13.5703125" style="2" bestFit="1" customWidth="1"/>
    <col min="6" max="257" width="9.140625" style="2" customWidth="1"/>
  </cols>
  <sheetData>
    <row r="2" spans="3:22" ht="12.75" customHeight="1">
      <c r="D2" s="2" t="s">
        <v>197</v>
      </c>
      <c r="E2" s="2" t="s">
        <v>20</v>
      </c>
      <c r="S2" s="3" t="s">
        <v>198</v>
      </c>
    </row>
    <row r="3" spans="3:22" ht="12.75" customHeight="1">
      <c r="S3" s="2" t="s">
        <v>199</v>
      </c>
      <c r="T3" s="2">
        <f t="array" ref="T3:U7">+LINEST(D5:D26,C5:C26,TRUE,TRUE)</f>
        <v>4.019665906492902E-3</v>
      </c>
      <c r="U3" s="2">
        <v>207.07877610967176</v>
      </c>
      <c r="V3" s="2" t="s">
        <v>200</v>
      </c>
    </row>
    <row r="4" spans="3:22" ht="12.75" customHeight="1">
      <c r="C4" s="3" t="s">
        <v>2</v>
      </c>
      <c r="D4" s="3" t="s">
        <v>201</v>
      </c>
      <c r="E4" s="3" t="s">
        <v>202</v>
      </c>
      <c r="S4" s="2" t="s">
        <v>203</v>
      </c>
      <c r="T4" s="2">
        <v>8.7085321150053505E-3</v>
      </c>
      <c r="U4" s="2">
        <v>0.65196716235045848</v>
      </c>
      <c r="V4" s="2" t="s">
        <v>204</v>
      </c>
    </row>
    <row r="5" spans="3:22" ht="12.75" customHeight="1">
      <c r="C5" s="2">
        <v>4</v>
      </c>
      <c r="D5" s="2">
        <v>207.583</v>
      </c>
      <c r="E5" s="2">
        <v>-4.6500000000000004</v>
      </c>
      <c r="S5" s="2" t="s">
        <v>205</v>
      </c>
      <c r="T5" s="2">
        <v>1.0540423524941318E-2</v>
      </c>
      <c r="U5" s="2">
        <v>1.5493223795164879</v>
      </c>
      <c r="V5" s="2" t="s">
        <v>206</v>
      </c>
    </row>
    <row r="6" spans="3:22" ht="12.75" customHeight="1">
      <c r="C6" s="2">
        <v>5</v>
      </c>
      <c r="D6" s="2">
        <v>209.739</v>
      </c>
      <c r="E6" s="2">
        <v>-4.4560000000000004</v>
      </c>
      <c r="S6" s="2" t="s">
        <v>207</v>
      </c>
      <c r="T6" s="2">
        <v>0.21305415148927026</v>
      </c>
      <c r="U6" s="2">
        <v>20</v>
      </c>
      <c r="V6" s="2" t="s">
        <v>208</v>
      </c>
    </row>
    <row r="7" spans="3:22" ht="12.75" customHeight="1">
      <c r="C7" s="2">
        <v>6</v>
      </c>
      <c r="D7" s="2">
        <v>207.52799999999999</v>
      </c>
      <c r="E7" s="2">
        <v>-4.593</v>
      </c>
      <c r="S7" s="2" t="s">
        <v>209</v>
      </c>
      <c r="T7" s="2">
        <v>0.51141515022379025</v>
      </c>
      <c r="U7" s="2">
        <v>48.007996713412638</v>
      </c>
      <c r="V7" s="2" t="s">
        <v>210</v>
      </c>
    </row>
    <row r="8" spans="3:22" ht="12.75" customHeight="1">
      <c r="C8" s="2">
        <v>23</v>
      </c>
      <c r="D8" s="2">
        <v>204.577</v>
      </c>
      <c r="E8" s="2">
        <v>-4.4889999999999999</v>
      </c>
    </row>
    <row r="9" spans="3:22" ht="12.75" customHeight="1">
      <c r="C9" s="2">
        <v>24</v>
      </c>
      <c r="D9" s="2">
        <v>206.81100000000001</v>
      </c>
      <c r="E9" s="2">
        <v>-4.6360000000000001</v>
      </c>
      <c r="S9" s="3" t="s">
        <v>211</v>
      </c>
      <c r="T9" s="3">
        <f>+$T$3-2.2*$T$4</f>
        <v>-1.513910474651887E-2</v>
      </c>
      <c r="U9" s="3">
        <f>+$T$3+2.2*$T$4</f>
        <v>2.3178436559504675E-2</v>
      </c>
    </row>
    <row r="10" spans="3:22" ht="12.75" customHeight="1">
      <c r="C10" s="2">
        <v>35</v>
      </c>
      <c r="D10" s="2">
        <v>207.22200000000001</v>
      </c>
      <c r="E10" s="2">
        <v>-4.5810000000000004</v>
      </c>
    </row>
    <row r="11" spans="3:22" ht="12.75" customHeight="1">
      <c r="C11" s="2">
        <v>36</v>
      </c>
      <c r="D11" s="2">
        <v>205.64</v>
      </c>
      <c r="E11" s="2">
        <v>-4.4569999999999999</v>
      </c>
    </row>
    <row r="12" spans="3:22" ht="12.75" customHeight="1">
      <c r="C12" s="2">
        <v>47</v>
      </c>
      <c r="D12" s="2">
        <v>208.91499999999999</v>
      </c>
      <c r="E12" s="2">
        <v>-4.4059999999999997</v>
      </c>
    </row>
    <row r="13" spans="3:22" ht="12.75" customHeight="1">
      <c r="C13" s="2">
        <v>48</v>
      </c>
      <c r="D13" s="2">
        <v>206.69800000000001</v>
      </c>
      <c r="E13" s="2">
        <v>-4.5940000000000003</v>
      </c>
    </row>
    <row r="14" spans="3:22" ht="12.75" customHeight="1">
      <c r="C14" s="2">
        <v>59</v>
      </c>
      <c r="D14" s="2">
        <v>207.31800000000001</v>
      </c>
      <c r="E14" s="2">
        <v>-4.5659999999999998</v>
      </c>
    </row>
    <row r="15" spans="3:22" ht="12.75" customHeight="1">
      <c r="C15" s="2">
        <v>60</v>
      </c>
      <c r="D15" s="2">
        <v>207.26499999999999</v>
      </c>
      <c r="E15" s="2">
        <v>-4.5250000000000004</v>
      </c>
    </row>
    <row r="16" spans="3:22" ht="12.75" customHeight="1">
      <c r="C16" s="2">
        <v>71</v>
      </c>
      <c r="D16" s="2">
        <v>206.42</v>
      </c>
      <c r="E16" s="2">
        <v>-4.423</v>
      </c>
    </row>
    <row r="17" spans="3:22" ht="12.75" customHeight="1">
      <c r="C17" s="2">
        <v>72</v>
      </c>
      <c r="D17" s="2">
        <v>206.70099999999999</v>
      </c>
      <c r="E17" s="2">
        <v>-4.5869999999999997</v>
      </c>
    </row>
    <row r="18" spans="3:22" ht="12.75" customHeight="1">
      <c r="C18" s="2">
        <v>83</v>
      </c>
      <c r="D18" s="2">
        <v>208.035</v>
      </c>
      <c r="E18" s="2">
        <v>-4.641</v>
      </c>
      <c r="S18" s="3" t="s">
        <v>212</v>
      </c>
    </row>
    <row r="19" spans="3:22" ht="12.75" customHeight="1">
      <c r="C19" s="2">
        <v>84</v>
      </c>
      <c r="D19" s="2">
        <v>208.45599999999999</v>
      </c>
      <c r="E19" s="2">
        <v>-4.5</v>
      </c>
      <c r="S19" s="2" t="s">
        <v>199</v>
      </c>
      <c r="T19" s="2">
        <f t="array" ref="T19:U23">+LINEST(E5:E26,C5:C26,TRUE,TRUE)</f>
        <v>1.725533222658161E-3</v>
      </c>
      <c r="U19" s="2">
        <v>-4.6060116898261185</v>
      </c>
      <c r="V19" s="2" t="s">
        <v>200</v>
      </c>
    </row>
    <row r="20" spans="3:22" ht="12.75" customHeight="1">
      <c r="C20" s="2">
        <v>95</v>
      </c>
      <c r="D20" s="2">
        <v>206.47499999999999</v>
      </c>
      <c r="E20" s="2">
        <v>-4.6609999999999996</v>
      </c>
      <c r="S20" s="2" t="s">
        <v>203</v>
      </c>
      <c r="T20" s="2">
        <v>5.7230785741866231E-4</v>
      </c>
      <c r="U20" s="2">
        <v>4.2846018693460004E-2</v>
      </c>
      <c r="V20" s="2" t="s">
        <v>204</v>
      </c>
    </row>
    <row r="21" spans="3:22" ht="12.75" customHeight="1">
      <c r="C21" s="2">
        <v>96</v>
      </c>
      <c r="D21" s="2">
        <v>206.227</v>
      </c>
      <c r="E21" s="2">
        <v>-4.4059999999999997</v>
      </c>
      <c r="S21" s="2" t="s">
        <v>205</v>
      </c>
      <c r="T21" s="2">
        <v>0.31249006606478502</v>
      </c>
      <c r="U21" s="2">
        <v>0.10181846489881377</v>
      </c>
      <c r="V21" s="2" t="s">
        <v>206</v>
      </c>
    </row>
    <row r="22" spans="3:22" ht="12.75" customHeight="1">
      <c r="C22" s="2">
        <v>107</v>
      </c>
      <c r="D22" s="2">
        <v>207.42500000000001</v>
      </c>
      <c r="E22" s="2">
        <v>-4.431</v>
      </c>
      <c r="S22" s="2" t="s">
        <v>207</v>
      </c>
      <c r="T22" s="2">
        <v>9.0904887519554389</v>
      </c>
      <c r="U22" s="2">
        <v>20</v>
      </c>
      <c r="V22" s="2" t="s">
        <v>208</v>
      </c>
    </row>
    <row r="23" spans="3:22" ht="12.75" customHeight="1">
      <c r="C23" s="2">
        <v>108</v>
      </c>
      <c r="D23" s="2">
        <v>207.91</v>
      </c>
      <c r="E23" s="2">
        <v>-4.3899999999999997</v>
      </c>
      <c r="S23" s="2" t="s">
        <v>209</v>
      </c>
      <c r="T23" s="2">
        <v>9.4241095022071869E-2</v>
      </c>
      <c r="U23" s="2">
        <v>0.20733999588701943</v>
      </c>
      <c r="V23" s="2" t="s">
        <v>210</v>
      </c>
    </row>
    <row r="24" spans="3:22" ht="12.75" customHeight="1">
      <c r="C24" s="2">
        <v>118</v>
      </c>
      <c r="D24" s="2">
        <v>207.12299999999999</v>
      </c>
      <c r="E24" s="2">
        <v>-4.2539999999999996</v>
      </c>
    </row>
    <row r="25" spans="3:22" ht="12.75" customHeight="1">
      <c r="C25" s="2">
        <v>119</v>
      </c>
      <c r="D25" s="2">
        <v>211.84700000000001</v>
      </c>
      <c r="E25" s="2">
        <v>-4.2560000000000002</v>
      </c>
      <c r="S25" s="3" t="s">
        <v>211</v>
      </c>
      <c r="T25" s="3">
        <f>+$T$19-2.2*$T$20</f>
        <v>4.6645593633710394E-4</v>
      </c>
      <c r="U25" s="3">
        <f>+$T$19+2.2*$T$20</f>
        <v>2.9846105089792181E-3</v>
      </c>
    </row>
    <row r="26" spans="3:22" ht="12.75" customHeight="1">
      <c r="C26" s="2">
        <v>120</v>
      </c>
      <c r="D26" s="2">
        <v>205.52600000000001</v>
      </c>
      <c r="E26" s="2">
        <v>-4.38</v>
      </c>
    </row>
    <row r="31" spans="3:22" ht="12.75" customHeight="1">
      <c r="C31" s="3" t="s">
        <v>213</v>
      </c>
      <c r="D31" s="4">
        <f>+AVERAGE(D5:D30)</f>
        <v>207.33822727272721</v>
      </c>
      <c r="E31" s="4">
        <f>+AVERAGE(E5:E30)</f>
        <v>-4.4946363636363644</v>
      </c>
    </row>
    <row r="32" spans="3:22" ht="12.75" customHeight="1">
      <c r="C32" s="3" t="s">
        <v>214</v>
      </c>
      <c r="D32" s="5">
        <f>+_xlfn.STDEV.P(D5:D26)</f>
        <v>1.485068285293129</v>
      </c>
      <c r="E32" s="5">
        <f>+_xlfn.STDEV.P(E5:E26)</f>
        <v>0.11708215664634254</v>
      </c>
    </row>
  </sheetData>
  <pageMargins left="0.7" right="0.7" top="0.75" bottom="0.75" header="0.3" footer="0.3"/>
  <pageSetup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"/>
  <sheetViews>
    <sheetView topLeftCell="A107" workbookViewId="0">
      <selection activeCell="D116" sqref="D116"/>
    </sheetView>
  </sheetViews>
  <sheetFormatPr defaultRowHeight="12.75" customHeight="1"/>
  <cols>
    <col min="1" max="1" width="8.140625" bestFit="1" customWidth="1"/>
    <col min="2" max="2" width="7.85546875" bestFit="1" customWidth="1"/>
    <col min="3" max="3" width="4.85546875" bestFit="1" customWidth="1"/>
    <col min="4" max="4" width="12.42578125" bestFit="1" customWidth="1"/>
    <col min="5" max="5" width="9.5703125" bestFit="1" customWidth="1"/>
    <col min="6" max="6" width="7.42578125" bestFit="1" customWidth="1"/>
    <col min="8" max="8" width="8" bestFit="1" customWidth="1"/>
    <col min="9" max="9" width="7.28515625" bestFit="1" customWidth="1"/>
    <col min="10" max="10" width="7" bestFit="1" customWidth="1"/>
    <col min="11" max="11" width="7.28515625" bestFit="1" customWidth="1"/>
    <col min="12" max="12" width="6.5703125" bestFit="1" customWidth="1"/>
    <col min="13" max="13" width="10.28515625" bestFit="1" customWidth="1"/>
    <col min="14" max="14" width="10" bestFit="1" customWidth="1"/>
  </cols>
  <sheetData>
    <row r="1" spans="1:14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 customHeight="1">
      <c r="A2" s="1" t="s">
        <v>14</v>
      </c>
      <c r="B2" s="1" t="s">
        <v>15</v>
      </c>
      <c r="C2" s="1">
        <v>1</v>
      </c>
      <c r="D2" s="1" t="s">
        <v>16</v>
      </c>
      <c r="E2" s="1"/>
      <c r="F2" s="1"/>
      <c r="G2" s="1"/>
      <c r="H2" s="1">
        <v>3</v>
      </c>
      <c r="I2" s="1">
        <v>2766</v>
      </c>
      <c r="J2" s="1">
        <v>23.81</v>
      </c>
      <c r="K2" s="1">
        <v>1065</v>
      </c>
      <c r="L2" s="1">
        <v>8.9999999999999993E-3</v>
      </c>
      <c r="M2" s="1">
        <v>3.904E-4</v>
      </c>
      <c r="N2" s="1">
        <v>253.256</v>
      </c>
    </row>
    <row r="3" spans="1:14" ht="12.75" customHeight="1">
      <c r="A3" s="1" t="s">
        <v>14</v>
      </c>
      <c r="B3" s="1" t="s">
        <v>17</v>
      </c>
      <c r="C3" s="1">
        <v>2</v>
      </c>
      <c r="D3" s="1" t="s">
        <v>16</v>
      </c>
      <c r="E3" s="1"/>
      <c r="F3" s="1"/>
      <c r="G3" s="1"/>
      <c r="H3" s="1">
        <v>3</v>
      </c>
      <c r="I3" s="1">
        <v>2766</v>
      </c>
      <c r="J3" s="1">
        <v>23.738</v>
      </c>
      <c r="K3" s="1">
        <v>1064</v>
      </c>
      <c r="L3" s="1">
        <v>8.9999999999999993E-3</v>
      </c>
      <c r="M3" s="1">
        <v>3.9090000000000001E-4</v>
      </c>
      <c r="N3" s="1">
        <v>254.87700000000001</v>
      </c>
    </row>
    <row r="4" spans="1:14" ht="12.75" customHeight="1">
      <c r="A4" s="1" t="s">
        <v>14</v>
      </c>
      <c r="B4" s="1" t="s">
        <v>18</v>
      </c>
      <c r="C4" s="1">
        <v>3</v>
      </c>
      <c r="D4" s="1" t="s">
        <v>16</v>
      </c>
      <c r="E4" s="1"/>
      <c r="F4" s="1"/>
      <c r="G4" s="1"/>
      <c r="H4" s="1">
        <v>3</v>
      </c>
      <c r="I4" s="1">
        <v>2775</v>
      </c>
      <c r="J4" s="1">
        <v>23.765000000000001</v>
      </c>
      <c r="K4" s="1">
        <v>1069</v>
      </c>
      <c r="L4" s="1">
        <v>8.9999999999999993E-3</v>
      </c>
      <c r="M4" s="1">
        <v>3.903E-4</v>
      </c>
      <c r="N4" s="1">
        <v>252.97</v>
      </c>
    </row>
    <row r="5" spans="1:14" ht="12.75" customHeight="1">
      <c r="A5" s="1" t="s">
        <v>14</v>
      </c>
      <c r="B5" s="1" t="s">
        <v>19</v>
      </c>
      <c r="C5" s="1">
        <v>4</v>
      </c>
      <c r="D5" s="1" t="s">
        <v>20</v>
      </c>
      <c r="E5" s="1"/>
      <c r="F5" s="1"/>
      <c r="G5" s="1"/>
      <c r="H5" s="1">
        <v>3</v>
      </c>
      <c r="I5" s="1">
        <v>2785</v>
      </c>
      <c r="J5" s="1">
        <v>23.623000000000001</v>
      </c>
      <c r="K5" s="1">
        <v>1036</v>
      </c>
      <c r="L5" s="1">
        <v>8.0000000000000002E-3</v>
      </c>
      <c r="M5" s="1">
        <v>3.7619999999999998E-4</v>
      </c>
      <c r="N5" s="1">
        <v>207.583</v>
      </c>
    </row>
    <row r="6" spans="1:14" ht="12.75" customHeight="1">
      <c r="A6" s="1" t="s">
        <v>14</v>
      </c>
      <c r="B6" s="1" t="s">
        <v>21</v>
      </c>
      <c r="C6" s="1">
        <v>5</v>
      </c>
      <c r="D6" s="1" t="s">
        <v>20</v>
      </c>
      <c r="E6" s="1"/>
      <c r="F6" s="1"/>
      <c r="G6" s="1"/>
      <c r="H6" s="1">
        <v>3</v>
      </c>
      <c r="I6" s="1">
        <v>2838</v>
      </c>
      <c r="J6" s="1">
        <v>24.614000000000001</v>
      </c>
      <c r="K6" s="1">
        <v>1057</v>
      </c>
      <c r="L6" s="1">
        <v>8.9999999999999993E-3</v>
      </c>
      <c r="M6" s="1">
        <v>3.768E-4</v>
      </c>
      <c r="N6" s="1">
        <v>209.739</v>
      </c>
    </row>
    <row r="7" spans="1:14" ht="12.75" customHeight="1">
      <c r="A7" s="1" t="s">
        <v>14</v>
      </c>
      <c r="B7" s="1" t="s">
        <v>22</v>
      </c>
      <c r="C7" s="1">
        <v>6</v>
      </c>
      <c r="D7" s="1" t="s">
        <v>20</v>
      </c>
      <c r="E7" s="1"/>
      <c r="F7" s="1"/>
      <c r="G7" s="1"/>
      <c r="H7" s="1">
        <v>3</v>
      </c>
      <c r="I7" s="1">
        <v>2896</v>
      </c>
      <c r="J7" s="1">
        <v>24.905999999999999</v>
      </c>
      <c r="K7" s="1">
        <v>1078</v>
      </c>
      <c r="L7" s="1">
        <v>8.9999999999999993E-3</v>
      </c>
      <c r="M7" s="1">
        <v>3.7609999999999998E-4</v>
      </c>
      <c r="N7" s="1">
        <v>207.52799999999999</v>
      </c>
    </row>
    <row r="8" spans="1:14" ht="12.75" customHeight="1">
      <c r="A8" s="1" t="s">
        <v>14</v>
      </c>
      <c r="B8" s="1" t="s">
        <v>23</v>
      </c>
      <c r="C8" s="1">
        <v>7</v>
      </c>
      <c r="D8" s="1" t="s">
        <v>24</v>
      </c>
      <c r="E8" s="1"/>
      <c r="F8" s="1"/>
      <c r="G8" s="1"/>
      <c r="H8" s="1">
        <v>3</v>
      </c>
      <c r="I8" s="1">
        <v>2845</v>
      </c>
      <c r="J8" s="1">
        <v>24.728000000000002</v>
      </c>
      <c r="K8" s="1">
        <v>1026</v>
      </c>
      <c r="L8" s="1">
        <v>8.0000000000000002E-3</v>
      </c>
      <c r="M8" s="1">
        <v>3.636E-4</v>
      </c>
      <c r="N8" s="1">
        <v>167.18199999999999</v>
      </c>
    </row>
    <row r="9" spans="1:14" ht="12.75" customHeight="1">
      <c r="A9" s="1" t="s">
        <v>14</v>
      </c>
      <c r="B9" s="1" t="s">
        <v>25</v>
      </c>
      <c r="C9" s="1">
        <v>8</v>
      </c>
      <c r="D9" s="1" t="s">
        <v>24</v>
      </c>
      <c r="E9" s="1"/>
      <c r="F9" s="1"/>
      <c r="G9" s="1"/>
      <c r="H9" s="1">
        <v>3</v>
      </c>
      <c r="I9" s="1">
        <v>2815</v>
      </c>
      <c r="J9" s="1">
        <v>24.37</v>
      </c>
      <c r="K9" s="1">
        <v>1012</v>
      </c>
      <c r="L9" s="1">
        <v>8.0000000000000002E-3</v>
      </c>
      <c r="M9" s="1">
        <v>3.6269999999999998E-4</v>
      </c>
      <c r="N9" s="1">
        <v>164.245</v>
      </c>
    </row>
    <row r="10" spans="1:14" ht="12.75" customHeight="1">
      <c r="A10" s="1" t="s">
        <v>14</v>
      </c>
      <c r="B10" s="1" t="s">
        <v>26</v>
      </c>
      <c r="C10" s="1">
        <v>9</v>
      </c>
      <c r="D10" s="1" t="s">
        <v>24</v>
      </c>
      <c r="E10" s="1"/>
      <c r="F10" s="1"/>
      <c r="G10" s="1"/>
      <c r="H10" s="1">
        <v>3</v>
      </c>
      <c r="I10" s="1">
        <v>2775</v>
      </c>
      <c r="J10" s="1">
        <v>23.885000000000002</v>
      </c>
      <c r="K10" s="1">
        <v>999</v>
      </c>
      <c r="L10" s="1">
        <v>8.0000000000000002E-3</v>
      </c>
      <c r="M10" s="1">
        <v>3.6329999999999999E-4</v>
      </c>
      <c r="N10" s="1">
        <v>166.37100000000001</v>
      </c>
    </row>
    <row r="11" spans="1:14" ht="12.75" customHeight="1">
      <c r="A11" s="1" t="s">
        <v>14</v>
      </c>
      <c r="B11" s="1" t="s">
        <v>27</v>
      </c>
      <c r="C11" s="1">
        <v>10</v>
      </c>
      <c r="D11" s="1" t="s">
        <v>28</v>
      </c>
      <c r="E11" s="1"/>
      <c r="F11" s="1"/>
      <c r="G11" s="1"/>
      <c r="H11" s="1">
        <v>3</v>
      </c>
      <c r="I11" s="1">
        <v>2788</v>
      </c>
      <c r="J11" s="1">
        <v>24.300999999999998</v>
      </c>
      <c r="K11" s="1">
        <v>983</v>
      </c>
      <c r="L11" s="1">
        <v>8.0000000000000002E-3</v>
      </c>
      <c r="M11" s="1">
        <v>3.5560000000000002E-4</v>
      </c>
      <c r="N11" s="1">
        <v>141.55099999999999</v>
      </c>
    </row>
    <row r="12" spans="1:14" ht="12.75" customHeight="1">
      <c r="A12" s="1" t="s">
        <v>14</v>
      </c>
      <c r="B12" s="1" t="s">
        <v>29</v>
      </c>
      <c r="C12" s="1">
        <v>11</v>
      </c>
      <c r="D12" s="1" t="s">
        <v>28</v>
      </c>
      <c r="E12" s="1"/>
      <c r="F12" s="1"/>
      <c r="G12" s="1"/>
      <c r="H12" s="1">
        <v>3</v>
      </c>
      <c r="I12" s="1">
        <v>2853</v>
      </c>
      <c r="J12" s="1">
        <v>24.763000000000002</v>
      </c>
      <c r="K12" s="1">
        <v>1005</v>
      </c>
      <c r="L12" s="1">
        <v>8.0000000000000002E-3</v>
      </c>
      <c r="M12" s="1">
        <v>3.5399999999999999E-4</v>
      </c>
      <c r="N12" s="1">
        <v>136.43899999999999</v>
      </c>
    </row>
    <row r="13" spans="1:14" ht="12.75" customHeight="1">
      <c r="A13" s="1" t="s">
        <v>14</v>
      </c>
      <c r="B13" s="1" t="s">
        <v>30</v>
      </c>
      <c r="C13" s="1">
        <v>12</v>
      </c>
      <c r="D13" s="1" t="s">
        <v>28</v>
      </c>
      <c r="E13" s="1"/>
      <c r="F13" s="1"/>
      <c r="G13" s="1"/>
      <c r="H13" s="1">
        <v>3</v>
      </c>
      <c r="I13" s="1">
        <v>2779</v>
      </c>
      <c r="J13" s="1">
        <v>24.277000000000001</v>
      </c>
      <c r="K13" s="1">
        <v>979</v>
      </c>
      <c r="L13" s="1">
        <v>8.0000000000000002E-3</v>
      </c>
      <c r="M13" s="1">
        <v>3.545E-4</v>
      </c>
      <c r="N13" s="1">
        <v>138.19499999999999</v>
      </c>
    </row>
    <row r="14" spans="1:14" ht="12.75" customHeight="1">
      <c r="A14" s="1" t="s">
        <v>14</v>
      </c>
      <c r="B14" s="1" t="s">
        <v>31</v>
      </c>
      <c r="C14" s="1">
        <v>13</v>
      </c>
      <c r="D14" s="1" t="s">
        <v>32</v>
      </c>
      <c r="E14" s="1"/>
      <c r="F14" s="1"/>
      <c r="G14" s="1"/>
      <c r="H14" s="1">
        <v>3</v>
      </c>
      <c r="I14" s="1">
        <v>2752</v>
      </c>
      <c r="J14" s="1">
        <v>24.068000000000001</v>
      </c>
      <c r="K14" s="1">
        <v>968</v>
      </c>
      <c r="L14" s="1">
        <v>8.0000000000000002E-3</v>
      </c>
      <c r="M14" s="1">
        <v>3.546E-4</v>
      </c>
      <c r="N14" s="1">
        <v>138.33699999999999</v>
      </c>
    </row>
    <row r="15" spans="1:14" ht="12.75" customHeight="1">
      <c r="A15" s="1" t="s">
        <v>14</v>
      </c>
      <c r="B15" s="1" t="s">
        <v>33</v>
      </c>
      <c r="C15" s="1">
        <v>14</v>
      </c>
      <c r="D15" s="1" t="s">
        <v>32</v>
      </c>
      <c r="E15" s="1"/>
      <c r="F15" s="1"/>
      <c r="G15" s="1"/>
      <c r="H15" s="1">
        <v>3</v>
      </c>
      <c r="I15" s="1">
        <v>2777</v>
      </c>
      <c r="J15" s="1">
        <v>24.263999999999999</v>
      </c>
      <c r="K15" s="1">
        <v>978</v>
      </c>
      <c r="L15" s="1">
        <v>8.0000000000000002E-3</v>
      </c>
      <c r="M15" s="1">
        <v>3.5490000000000001E-4</v>
      </c>
      <c r="N15" s="1">
        <v>139.227</v>
      </c>
    </row>
    <row r="16" spans="1:14" ht="12.75" customHeight="1">
      <c r="A16" s="1" t="s">
        <v>14</v>
      </c>
      <c r="B16" s="1" t="s">
        <v>34</v>
      </c>
      <c r="C16" s="1">
        <v>15</v>
      </c>
      <c r="D16" s="1" t="s">
        <v>35</v>
      </c>
      <c r="E16" s="1"/>
      <c r="F16" s="1"/>
      <c r="G16" s="1"/>
      <c r="H16" s="1">
        <v>3</v>
      </c>
      <c r="I16" s="1">
        <v>2811</v>
      </c>
      <c r="J16" s="1">
        <v>24.545999999999999</v>
      </c>
      <c r="K16" s="1">
        <v>1009</v>
      </c>
      <c r="L16" s="1">
        <v>8.0000000000000002E-3</v>
      </c>
      <c r="M16" s="1">
        <v>3.6160000000000001E-4</v>
      </c>
      <c r="N16" s="1">
        <v>160.904</v>
      </c>
    </row>
    <row r="17" spans="1:14" ht="12.75" customHeight="1">
      <c r="A17" s="1" t="s">
        <v>14</v>
      </c>
      <c r="B17" s="1" t="s">
        <v>36</v>
      </c>
      <c r="C17" s="1">
        <v>16</v>
      </c>
      <c r="D17" s="1" t="s">
        <v>35</v>
      </c>
      <c r="E17" s="1"/>
      <c r="F17" s="1"/>
      <c r="G17" s="1"/>
      <c r="H17" s="1">
        <v>3</v>
      </c>
      <c r="I17" s="1">
        <v>2792</v>
      </c>
      <c r="J17" s="1">
        <v>24.527999999999999</v>
      </c>
      <c r="K17" s="1">
        <v>1001</v>
      </c>
      <c r="L17" s="1">
        <v>8.0000000000000002E-3</v>
      </c>
      <c r="M17" s="1">
        <v>3.6230000000000002E-4</v>
      </c>
      <c r="N17" s="1">
        <v>163.23500000000001</v>
      </c>
    </row>
    <row r="18" spans="1:14" ht="12.75" customHeight="1">
      <c r="A18" s="1" t="s">
        <v>14</v>
      </c>
      <c r="B18" s="1" t="s">
        <v>37</v>
      </c>
      <c r="C18" s="1">
        <v>17</v>
      </c>
      <c r="D18" s="1" t="s">
        <v>38</v>
      </c>
      <c r="E18" s="1"/>
      <c r="F18" s="1"/>
      <c r="G18" s="1"/>
      <c r="H18" s="1">
        <v>3</v>
      </c>
      <c r="I18" s="1">
        <v>2972</v>
      </c>
      <c r="J18" s="1">
        <v>26.018000000000001</v>
      </c>
      <c r="K18" s="1">
        <v>1115</v>
      </c>
      <c r="L18" s="1">
        <v>8.9999999999999993E-3</v>
      </c>
      <c r="M18" s="1">
        <v>3.7750000000000001E-4</v>
      </c>
      <c r="N18" s="1">
        <v>211.91399999999999</v>
      </c>
    </row>
    <row r="19" spans="1:14" ht="12.75" customHeight="1">
      <c r="A19" s="1" t="s">
        <v>14</v>
      </c>
      <c r="B19" s="1" t="s">
        <v>39</v>
      </c>
      <c r="C19" s="1">
        <v>18</v>
      </c>
      <c r="D19" s="1" t="s">
        <v>38</v>
      </c>
      <c r="E19" s="1"/>
      <c r="F19" s="1"/>
      <c r="G19" s="1"/>
      <c r="H19" s="1">
        <v>3</v>
      </c>
      <c r="I19" s="1">
        <v>2935</v>
      </c>
      <c r="J19" s="1">
        <v>25.861000000000001</v>
      </c>
      <c r="K19" s="1">
        <v>1101</v>
      </c>
      <c r="L19" s="1">
        <v>8.9999999999999993E-3</v>
      </c>
      <c r="M19" s="1">
        <v>3.7730000000000001E-4</v>
      </c>
      <c r="N19" s="1">
        <v>211.29300000000001</v>
      </c>
    </row>
    <row r="20" spans="1:14" ht="12.75" customHeight="1">
      <c r="A20" s="1" t="s">
        <v>14</v>
      </c>
      <c r="B20" s="1" t="s">
        <v>40</v>
      </c>
      <c r="C20" s="1">
        <v>19</v>
      </c>
      <c r="D20" s="1" t="s">
        <v>41</v>
      </c>
      <c r="E20" s="1"/>
      <c r="F20" s="1"/>
      <c r="G20" s="1"/>
      <c r="H20" s="1">
        <v>3</v>
      </c>
      <c r="I20" s="1">
        <v>2673</v>
      </c>
      <c r="J20" s="1">
        <v>23.521999999999998</v>
      </c>
      <c r="K20" s="1">
        <v>1016</v>
      </c>
      <c r="L20" s="1">
        <v>8.0000000000000002E-3</v>
      </c>
      <c r="M20" s="1">
        <v>3.8479999999999997E-4</v>
      </c>
      <c r="N20" s="1">
        <v>235.43600000000001</v>
      </c>
    </row>
    <row r="21" spans="1:14" ht="12.75" customHeight="1">
      <c r="A21" s="1" t="s">
        <v>14</v>
      </c>
      <c r="B21" s="1" t="s">
        <v>42</v>
      </c>
      <c r="C21" s="1">
        <v>20</v>
      </c>
      <c r="D21" s="1" t="s">
        <v>41</v>
      </c>
      <c r="E21" s="1"/>
      <c r="F21" s="1"/>
      <c r="G21" s="1"/>
      <c r="H21" s="1">
        <v>3</v>
      </c>
      <c r="I21" s="1">
        <v>2859</v>
      </c>
      <c r="J21" s="1">
        <v>25.161999999999999</v>
      </c>
      <c r="K21" s="1">
        <v>1091</v>
      </c>
      <c r="L21" s="1">
        <v>8.9999999999999993E-3</v>
      </c>
      <c r="M21" s="1">
        <v>3.8499999999999998E-4</v>
      </c>
      <c r="N21" s="1">
        <v>236.018</v>
      </c>
    </row>
    <row r="22" spans="1:14" ht="12.75" customHeight="1">
      <c r="A22" s="1" t="s">
        <v>14</v>
      </c>
      <c r="B22" s="1" t="s">
        <v>43</v>
      </c>
      <c r="C22" s="1">
        <v>21</v>
      </c>
      <c r="D22" s="1" t="s">
        <v>44</v>
      </c>
      <c r="E22" s="1"/>
      <c r="F22" s="1"/>
      <c r="G22" s="1"/>
      <c r="H22" s="1">
        <v>3</v>
      </c>
      <c r="I22" s="1">
        <v>2742</v>
      </c>
      <c r="J22" s="1">
        <v>24.06</v>
      </c>
      <c r="K22" s="1">
        <v>1005</v>
      </c>
      <c r="L22" s="1">
        <v>8.0000000000000002E-3</v>
      </c>
      <c r="M22" s="1">
        <v>3.7060000000000001E-4</v>
      </c>
      <c r="N22" s="1">
        <v>189.78299999999999</v>
      </c>
    </row>
    <row r="23" spans="1:14" ht="12.75" customHeight="1">
      <c r="A23" s="1" t="s">
        <v>14</v>
      </c>
      <c r="B23" s="1" t="s">
        <v>45</v>
      </c>
      <c r="C23" s="1">
        <v>22</v>
      </c>
      <c r="D23" s="1" t="s">
        <v>44</v>
      </c>
      <c r="E23" s="1"/>
      <c r="F23" s="1"/>
      <c r="G23" s="1"/>
      <c r="H23" s="1">
        <v>3</v>
      </c>
      <c r="I23" s="1">
        <v>2766</v>
      </c>
      <c r="J23" s="1">
        <v>24.077999999999999</v>
      </c>
      <c r="K23" s="1">
        <v>1014</v>
      </c>
      <c r="L23" s="1">
        <v>8.0000000000000002E-3</v>
      </c>
      <c r="M23" s="1">
        <v>3.702E-4</v>
      </c>
      <c r="N23" s="1">
        <v>188.40700000000001</v>
      </c>
    </row>
    <row r="24" spans="1:14" ht="12.75" customHeight="1">
      <c r="A24" s="1" t="s">
        <v>14</v>
      </c>
      <c r="B24" s="1" t="s">
        <v>46</v>
      </c>
      <c r="C24" s="1">
        <v>23</v>
      </c>
      <c r="D24" s="1" t="s">
        <v>20</v>
      </c>
      <c r="E24" s="1"/>
      <c r="F24" s="1"/>
      <c r="G24" s="1"/>
      <c r="H24" s="1">
        <v>3</v>
      </c>
      <c r="I24" s="1">
        <v>2838</v>
      </c>
      <c r="J24" s="1">
        <v>24.867999999999999</v>
      </c>
      <c r="K24" s="1">
        <v>1056</v>
      </c>
      <c r="L24" s="1">
        <v>8.9999999999999993E-3</v>
      </c>
      <c r="M24" s="1">
        <v>3.7520000000000001E-4</v>
      </c>
      <c r="N24" s="1">
        <v>204.577</v>
      </c>
    </row>
    <row r="25" spans="1:14" ht="12.75" customHeight="1">
      <c r="A25" s="1" t="s">
        <v>14</v>
      </c>
      <c r="B25" s="1" t="s">
        <v>47</v>
      </c>
      <c r="C25" s="1">
        <v>24</v>
      </c>
      <c r="D25" s="1" t="s">
        <v>20</v>
      </c>
      <c r="E25" s="1"/>
      <c r="F25" s="1"/>
      <c r="G25" s="1"/>
      <c r="H25" s="1">
        <v>3</v>
      </c>
      <c r="I25" s="1">
        <v>2831</v>
      </c>
      <c r="J25" s="1">
        <v>24.626999999999999</v>
      </c>
      <c r="K25" s="1">
        <v>1055</v>
      </c>
      <c r="L25" s="1">
        <v>8.0000000000000002E-3</v>
      </c>
      <c r="M25" s="1">
        <v>3.7589999999999998E-4</v>
      </c>
      <c r="N25" s="1">
        <v>206.81100000000001</v>
      </c>
    </row>
    <row r="26" spans="1:14" ht="12.75" customHeight="1">
      <c r="A26" s="1" t="s">
        <v>14</v>
      </c>
      <c r="B26" s="1" t="s">
        <v>48</v>
      </c>
      <c r="C26" s="1">
        <v>25</v>
      </c>
      <c r="D26" s="1" t="s">
        <v>49</v>
      </c>
      <c r="E26" s="1"/>
      <c r="F26" s="1"/>
      <c r="G26" s="1"/>
      <c r="H26" s="1">
        <v>3</v>
      </c>
      <c r="I26" s="1">
        <v>2760</v>
      </c>
      <c r="J26" s="1">
        <v>24.388999999999999</v>
      </c>
      <c r="K26" s="1">
        <v>991</v>
      </c>
      <c r="L26" s="1">
        <v>8.0000000000000002E-3</v>
      </c>
      <c r="M26" s="1">
        <v>3.6230000000000002E-4</v>
      </c>
      <c r="N26" s="1">
        <v>163.22800000000001</v>
      </c>
    </row>
    <row r="27" spans="1:14" ht="12.75" customHeight="1">
      <c r="A27" s="1" t="s">
        <v>14</v>
      </c>
      <c r="B27" s="1" t="s">
        <v>50</v>
      </c>
      <c r="C27" s="1">
        <v>26</v>
      </c>
      <c r="D27" s="1" t="s">
        <v>49</v>
      </c>
      <c r="E27" s="1"/>
      <c r="F27" s="1"/>
      <c r="G27" s="1"/>
      <c r="H27" s="1">
        <v>3</v>
      </c>
      <c r="I27" s="1">
        <v>2754</v>
      </c>
      <c r="J27" s="1">
        <v>24.105</v>
      </c>
      <c r="K27" s="1">
        <v>988</v>
      </c>
      <c r="L27" s="1">
        <v>8.0000000000000002E-3</v>
      </c>
      <c r="M27" s="1">
        <v>3.6099999999999999E-4</v>
      </c>
      <c r="N27" s="1">
        <v>159.066</v>
      </c>
    </row>
    <row r="28" spans="1:14" ht="12.75" customHeight="1">
      <c r="A28" s="1" t="s">
        <v>14</v>
      </c>
      <c r="B28" s="1" t="s">
        <v>51</v>
      </c>
      <c r="C28" s="1">
        <v>27</v>
      </c>
      <c r="D28" s="1" t="s">
        <v>52</v>
      </c>
      <c r="E28" s="1"/>
      <c r="F28" s="1"/>
      <c r="G28" s="1"/>
      <c r="H28" s="1">
        <v>3</v>
      </c>
      <c r="I28" s="1">
        <v>2738</v>
      </c>
      <c r="J28" s="1">
        <v>24.266999999999999</v>
      </c>
      <c r="K28" s="1">
        <v>950</v>
      </c>
      <c r="L28" s="1">
        <v>8.0000000000000002E-3</v>
      </c>
      <c r="M28" s="1">
        <v>3.4900000000000003E-4</v>
      </c>
      <c r="N28" s="1">
        <v>120.36199999999999</v>
      </c>
    </row>
    <row r="29" spans="1:14" ht="12.75" customHeight="1">
      <c r="A29" s="1" t="s">
        <v>14</v>
      </c>
      <c r="B29" s="1" t="s">
        <v>53</v>
      </c>
      <c r="C29" s="1">
        <v>28</v>
      </c>
      <c r="D29" s="1" t="s">
        <v>52</v>
      </c>
      <c r="E29" s="1"/>
      <c r="F29" s="1"/>
      <c r="G29" s="1"/>
      <c r="H29" s="1">
        <v>3</v>
      </c>
      <c r="I29" s="1">
        <v>2784</v>
      </c>
      <c r="J29" s="1">
        <v>24.375</v>
      </c>
      <c r="K29" s="1">
        <v>965</v>
      </c>
      <c r="L29" s="1">
        <v>8.0000000000000002E-3</v>
      </c>
      <c r="M29" s="1">
        <v>3.4820000000000001E-4</v>
      </c>
      <c r="N29" s="1">
        <v>117.697</v>
      </c>
    </row>
    <row r="30" spans="1:14" ht="12.75" customHeight="1">
      <c r="A30" s="1" t="s">
        <v>14</v>
      </c>
      <c r="B30" s="1" t="s">
        <v>54</v>
      </c>
      <c r="C30" s="1">
        <v>29</v>
      </c>
      <c r="D30" s="1" t="s">
        <v>55</v>
      </c>
      <c r="E30" s="1"/>
      <c r="F30" s="1"/>
      <c r="G30" s="1"/>
      <c r="H30" s="1">
        <v>3</v>
      </c>
      <c r="I30" s="1">
        <v>2833</v>
      </c>
      <c r="J30" s="1">
        <v>24.155000000000001</v>
      </c>
      <c r="K30" s="1">
        <v>1039</v>
      </c>
      <c r="L30" s="1">
        <v>8.0000000000000002E-3</v>
      </c>
      <c r="M30" s="1">
        <v>3.6979999999999999E-4</v>
      </c>
      <c r="N30" s="1">
        <v>187.155</v>
      </c>
    </row>
    <row r="31" spans="1:14" ht="12.75" customHeight="1">
      <c r="A31" s="1" t="s">
        <v>14</v>
      </c>
      <c r="B31" s="1" t="s">
        <v>56</v>
      </c>
      <c r="C31" s="1">
        <v>30</v>
      </c>
      <c r="D31" s="1" t="s">
        <v>55</v>
      </c>
      <c r="E31" s="1"/>
      <c r="F31" s="1"/>
      <c r="G31" s="1"/>
      <c r="H31" s="1">
        <v>3</v>
      </c>
      <c r="I31" s="1">
        <v>2833</v>
      </c>
      <c r="J31" s="1">
        <v>24.847999999999999</v>
      </c>
      <c r="K31" s="1">
        <v>1040</v>
      </c>
      <c r="L31" s="1">
        <v>8.0000000000000002E-3</v>
      </c>
      <c r="M31" s="1">
        <v>3.6949999999999998E-4</v>
      </c>
      <c r="N31" s="1">
        <v>186.22900000000001</v>
      </c>
    </row>
    <row r="32" spans="1:14" ht="12.75" customHeight="1">
      <c r="A32" s="1" t="s">
        <v>14</v>
      </c>
      <c r="B32" s="1" t="s">
        <v>57</v>
      </c>
      <c r="C32" s="1">
        <v>31</v>
      </c>
      <c r="D32" s="1" t="s">
        <v>58</v>
      </c>
      <c r="E32" s="1"/>
      <c r="F32" s="1"/>
      <c r="G32" s="1"/>
      <c r="H32" s="1">
        <v>3</v>
      </c>
      <c r="I32" s="1">
        <v>2753</v>
      </c>
      <c r="J32" s="1">
        <v>24.055</v>
      </c>
      <c r="K32" s="1">
        <v>1043</v>
      </c>
      <c r="L32" s="1">
        <v>8.0000000000000002E-3</v>
      </c>
      <c r="M32" s="1">
        <v>3.8319999999999999E-4</v>
      </c>
      <c r="N32" s="1">
        <v>230.29599999999999</v>
      </c>
    </row>
    <row r="33" spans="1:14" ht="12.75" customHeight="1">
      <c r="A33" s="1" t="s">
        <v>14</v>
      </c>
      <c r="B33" s="1" t="s">
        <v>59</v>
      </c>
      <c r="C33" s="1">
        <v>32</v>
      </c>
      <c r="D33" s="1" t="s">
        <v>58</v>
      </c>
      <c r="E33" s="1"/>
      <c r="F33" s="1"/>
      <c r="G33" s="1"/>
      <c r="H33" s="1">
        <v>3</v>
      </c>
      <c r="I33" s="1">
        <v>2755</v>
      </c>
      <c r="J33" s="1">
        <v>24.138999999999999</v>
      </c>
      <c r="K33" s="1">
        <v>1044</v>
      </c>
      <c r="L33" s="1">
        <v>8.0000000000000002E-3</v>
      </c>
      <c r="M33" s="1">
        <v>3.8259999999999998E-4</v>
      </c>
      <c r="N33" s="1">
        <v>228.37299999999999</v>
      </c>
    </row>
    <row r="34" spans="1:14" ht="12.75" customHeight="1">
      <c r="A34" s="1" t="s">
        <v>14</v>
      </c>
      <c r="B34" s="1" t="s">
        <v>60</v>
      </c>
      <c r="C34" s="1">
        <v>33</v>
      </c>
      <c r="D34" s="1" t="s">
        <v>61</v>
      </c>
      <c r="E34" s="1"/>
      <c r="F34" s="1"/>
      <c r="G34" s="1"/>
      <c r="H34" s="1">
        <v>3</v>
      </c>
      <c r="I34" s="1">
        <v>2751</v>
      </c>
      <c r="J34" s="1">
        <v>24.088000000000001</v>
      </c>
      <c r="K34" s="1">
        <v>1031</v>
      </c>
      <c r="L34" s="1">
        <v>8.0000000000000002E-3</v>
      </c>
      <c r="M34" s="1">
        <v>3.791E-4</v>
      </c>
      <c r="N34" s="1">
        <v>217.00700000000001</v>
      </c>
    </row>
    <row r="35" spans="1:14" ht="12.75" customHeight="1">
      <c r="A35" s="1" t="s">
        <v>14</v>
      </c>
      <c r="B35" s="1" t="s">
        <v>62</v>
      </c>
      <c r="C35" s="1">
        <v>34</v>
      </c>
      <c r="D35" s="1" t="s">
        <v>61</v>
      </c>
      <c r="E35" s="1"/>
      <c r="F35" s="1"/>
      <c r="G35" s="1"/>
      <c r="H35" s="1">
        <v>3</v>
      </c>
      <c r="I35" s="1">
        <v>2818</v>
      </c>
      <c r="J35" s="1">
        <v>24.712</v>
      </c>
      <c r="K35" s="1">
        <v>1056</v>
      </c>
      <c r="L35" s="1">
        <v>8.9999999999999993E-3</v>
      </c>
      <c r="M35" s="1">
        <v>3.7859999999999999E-4</v>
      </c>
      <c r="N35" s="1">
        <v>215.328</v>
      </c>
    </row>
    <row r="36" spans="1:14" ht="12.75" customHeight="1">
      <c r="A36" s="1" t="s">
        <v>14</v>
      </c>
      <c r="B36" s="1" t="s">
        <v>63</v>
      </c>
      <c r="C36" s="1">
        <v>35</v>
      </c>
      <c r="D36" s="1" t="s">
        <v>20</v>
      </c>
      <c r="E36" s="1"/>
      <c r="F36" s="1"/>
      <c r="G36" s="1"/>
      <c r="H36" s="1">
        <v>3</v>
      </c>
      <c r="I36" s="1">
        <v>2806</v>
      </c>
      <c r="J36" s="1">
        <v>24.702000000000002</v>
      </c>
      <c r="K36" s="1">
        <v>1045</v>
      </c>
      <c r="L36" s="1">
        <v>8.9999999999999993E-3</v>
      </c>
      <c r="M36" s="1">
        <v>3.7599999999999998E-4</v>
      </c>
      <c r="N36" s="1">
        <v>207.22200000000001</v>
      </c>
    </row>
    <row r="37" spans="1:14" ht="12.75" customHeight="1">
      <c r="A37" s="1" t="s">
        <v>14</v>
      </c>
      <c r="B37" s="1" t="s">
        <v>64</v>
      </c>
      <c r="C37" s="1">
        <v>36</v>
      </c>
      <c r="D37" s="1" t="s">
        <v>20</v>
      </c>
      <c r="E37" s="1"/>
      <c r="F37" s="1"/>
      <c r="G37" s="1"/>
      <c r="H37" s="1">
        <v>3</v>
      </c>
      <c r="I37" s="1">
        <v>2823</v>
      </c>
      <c r="J37" s="1">
        <v>24.896999999999998</v>
      </c>
      <c r="K37" s="1">
        <v>1051</v>
      </c>
      <c r="L37" s="1">
        <v>8.9999999999999993E-3</v>
      </c>
      <c r="M37" s="1">
        <v>3.7560000000000002E-4</v>
      </c>
      <c r="N37" s="1">
        <v>205.64</v>
      </c>
    </row>
    <row r="38" spans="1:14" ht="12.75" customHeight="1">
      <c r="A38" s="1" t="s">
        <v>14</v>
      </c>
      <c r="B38" s="1" t="s">
        <v>65</v>
      </c>
      <c r="C38" s="1">
        <v>37</v>
      </c>
      <c r="D38" s="1" t="s">
        <v>66</v>
      </c>
      <c r="E38" s="1"/>
      <c r="F38" s="1"/>
      <c r="G38" s="1"/>
      <c r="H38" s="1">
        <v>3</v>
      </c>
      <c r="I38" s="1">
        <v>2777</v>
      </c>
      <c r="J38" s="1">
        <v>24.265999999999998</v>
      </c>
      <c r="K38" s="1">
        <v>1054</v>
      </c>
      <c r="L38" s="1">
        <v>8.9999999999999993E-3</v>
      </c>
      <c r="M38" s="1">
        <v>3.8390000000000001E-4</v>
      </c>
      <c r="N38" s="1">
        <v>232.46899999999999</v>
      </c>
    </row>
    <row r="39" spans="1:14" ht="12.75" customHeight="1">
      <c r="A39" s="1" t="s">
        <v>14</v>
      </c>
      <c r="B39" s="1" t="s">
        <v>67</v>
      </c>
      <c r="C39" s="1">
        <v>38</v>
      </c>
      <c r="D39" s="1" t="s">
        <v>66</v>
      </c>
      <c r="E39" s="1"/>
      <c r="F39" s="1"/>
      <c r="G39" s="1"/>
      <c r="H39" s="1">
        <v>3</v>
      </c>
      <c r="I39" s="1">
        <v>2800</v>
      </c>
      <c r="J39" s="1">
        <v>24.577000000000002</v>
      </c>
      <c r="K39" s="1">
        <v>1063</v>
      </c>
      <c r="L39" s="1">
        <v>8.9999999999999993E-3</v>
      </c>
      <c r="M39" s="1">
        <v>3.8470000000000003E-4</v>
      </c>
      <c r="N39" s="1">
        <v>234.97</v>
      </c>
    </row>
    <row r="40" spans="1:14" ht="12.75" customHeight="1">
      <c r="A40" s="1" t="s">
        <v>14</v>
      </c>
      <c r="B40" s="1" t="s">
        <v>68</v>
      </c>
      <c r="C40" s="1">
        <v>39</v>
      </c>
      <c r="D40" s="1" t="s">
        <v>69</v>
      </c>
      <c r="E40" s="1"/>
      <c r="F40" s="1"/>
      <c r="G40" s="1"/>
      <c r="H40" s="1">
        <v>3</v>
      </c>
      <c r="I40" s="1">
        <v>2771</v>
      </c>
      <c r="J40" s="1">
        <v>24.385999999999999</v>
      </c>
      <c r="K40" s="1">
        <v>1041</v>
      </c>
      <c r="L40" s="1">
        <v>8.9999999999999993E-3</v>
      </c>
      <c r="M40" s="1">
        <v>3.8049999999999998E-4</v>
      </c>
      <c r="N40" s="1">
        <v>221.518</v>
      </c>
    </row>
    <row r="41" spans="1:14" ht="12.75" customHeight="1">
      <c r="A41" s="1" t="s">
        <v>70</v>
      </c>
      <c r="B41" s="1" t="s">
        <v>71</v>
      </c>
      <c r="C41" s="1">
        <v>40</v>
      </c>
      <c r="D41" s="1" t="s">
        <v>69</v>
      </c>
      <c r="E41" s="1"/>
      <c r="F41" s="1"/>
      <c r="G41" s="1"/>
      <c r="H41" s="1">
        <v>3</v>
      </c>
      <c r="I41" s="1">
        <v>2795</v>
      </c>
      <c r="J41" s="1">
        <v>24.815000000000001</v>
      </c>
      <c r="K41" s="1">
        <v>1051</v>
      </c>
      <c r="L41" s="1">
        <v>8.9999999999999993E-3</v>
      </c>
      <c r="M41" s="1">
        <v>3.7960000000000001E-4</v>
      </c>
      <c r="N41" s="1">
        <v>218.71299999999999</v>
      </c>
    </row>
    <row r="42" spans="1:14" ht="12.75" customHeight="1">
      <c r="A42" s="1" t="s">
        <v>70</v>
      </c>
      <c r="B42" s="1" t="s">
        <v>72</v>
      </c>
      <c r="C42" s="1">
        <v>41</v>
      </c>
      <c r="D42" s="1" t="s">
        <v>73</v>
      </c>
      <c r="E42" s="1"/>
      <c r="F42" s="1"/>
      <c r="G42" s="1"/>
      <c r="H42" s="1">
        <v>3</v>
      </c>
      <c r="I42" s="1">
        <v>2815</v>
      </c>
      <c r="J42" s="1">
        <v>24.757999999999999</v>
      </c>
      <c r="K42" s="1">
        <v>1077</v>
      </c>
      <c r="L42" s="1">
        <v>8.9999999999999993E-3</v>
      </c>
      <c r="M42" s="1">
        <v>3.8699999999999997E-4</v>
      </c>
      <c r="N42" s="1">
        <v>242.33099999999999</v>
      </c>
    </row>
    <row r="43" spans="1:14" ht="12.75" customHeight="1">
      <c r="A43" s="1" t="s">
        <v>70</v>
      </c>
      <c r="B43" s="1" t="s">
        <v>74</v>
      </c>
      <c r="C43" s="1">
        <v>42</v>
      </c>
      <c r="D43" s="1" t="s">
        <v>73</v>
      </c>
      <c r="E43" s="1"/>
      <c r="F43" s="1"/>
      <c r="G43" s="1"/>
      <c r="H43" s="1">
        <v>3</v>
      </c>
      <c r="I43" s="1">
        <v>2846</v>
      </c>
      <c r="J43" s="1">
        <v>24.952000000000002</v>
      </c>
      <c r="K43" s="1">
        <v>1090</v>
      </c>
      <c r="L43" s="1">
        <v>8.9999999999999993E-3</v>
      </c>
      <c r="M43" s="1">
        <v>3.8739999999999998E-4</v>
      </c>
      <c r="N43" s="1">
        <v>243.52</v>
      </c>
    </row>
    <row r="44" spans="1:14" ht="12.75" customHeight="1">
      <c r="A44" s="1" t="s">
        <v>70</v>
      </c>
      <c r="B44" s="1" t="s">
        <v>75</v>
      </c>
      <c r="C44" s="1">
        <v>43</v>
      </c>
      <c r="D44" s="1" t="s">
        <v>76</v>
      </c>
      <c r="E44" s="1"/>
      <c r="F44" s="1"/>
      <c r="G44" s="1"/>
      <c r="H44" s="1">
        <v>3</v>
      </c>
      <c r="I44" s="1">
        <v>2854</v>
      </c>
      <c r="J44" s="1">
        <v>25.3</v>
      </c>
      <c r="K44" s="1">
        <v>1072</v>
      </c>
      <c r="L44" s="1">
        <v>8.9999999999999993E-3</v>
      </c>
      <c r="M44" s="1">
        <v>3.792E-4</v>
      </c>
      <c r="N44" s="1">
        <v>217.39</v>
      </c>
    </row>
    <row r="45" spans="1:14" ht="12.75" customHeight="1">
      <c r="A45" s="1" t="s">
        <v>70</v>
      </c>
      <c r="B45" s="1" t="s">
        <v>77</v>
      </c>
      <c r="C45" s="1">
        <v>44</v>
      </c>
      <c r="D45" s="1" t="s">
        <v>76</v>
      </c>
      <c r="E45" s="1"/>
      <c r="F45" s="1"/>
      <c r="G45" s="1"/>
      <c r="H45" s="1">
        <v>3</v>
      </c>
      <c r="I45" s="1">
        <v>2823</v>
      </c>
      <c r="J45" s="1">
        <v>24.93</v>
      </c>
      <c r="K45" s="1">
        <v>1057</v>
      </c>
      <c r="L45" s="1">
        <v>8.9999999999999993E-3</v>
      </c>
      <c r="M45" s="1">
        <v>3.7770000000000002E-4</v>
      </c>
      <c r="N45" s="1">
        <v>212.61600000000001</v>
      </c>
    </row>
    <row r="46" spans="1:14" ht="12.75" customHeight="1">
      <c r="A46" s="1" t="s">
        <v>70</v>
      </c>
      <c r="B46" s="1" t="s">
        <v>78</v>
      </c>
      <c r="C46" s="1">
        <v>45</v>
      </c>
      <c r="D46" s="1" t="s">
        <v>79</v>
      </c>
      <c r="E46" s="1"/>
      <c r="F46" s="1"/>
      <c r="G46" s="1"/>
      <c r="H46" s="1">
        <v>3</v>
      </c>
      <c r="I46" s="1">
        <v>2741</v>
      </c>
      <c r="J46" s="1">
        <v>24.117999999999999</v>
      </c>
      <c r="K46" s="1">
        <v>1045</v>
      </c>
      <c r="L46" s="1">
        <v>8.9999999999999993E-3</v>
      </c>
      <c r="M46" s="1">
        <v>3.86E-4</v>
      </c>
      <c r="N46" s="1">
        <v>239.2</v>
      </c>
    </row>
    <row r="47" spans="1:14" ht="12.75" customHeight="1">
      <c r="A47" s="1" t="s">
        <v>70</v>
      </c>
      <c r="B47" s="1" t="s">
        <v>80</v>
      </c>
      <c r="C47" s="1">
        <v>46</v>
      </c>
      <c r="D47" s="1" t="s">
        <v>79</v>
      </c>
      <c r="E47" s="1"/>
      <c r="F47" s="1"/>
      <c r="G47" s="1"/>
      <c r="H47" s="1">
        <v>3</v>
      </c>
      <c r="I47" s="1">
        <v>2812</v>
      </c>
      <c r="J47" s="1">
        <v>24.917000000000002</v>
      </c>
      <c r="K47" s="1">
        <v>1074</v>
      </c>
      <c r="L47" s="1">
        <v>8.9999999999999993E-3</v>
      </c>
      <c r="M47" s="1">
        <v>3.8559999999999999E-4</v>
      </c>
      <c r="N47" s="1">
        <v>237.869</v>
      </c>
    </row>
    <row r="48" spans="1:14" ht="12.75" customHeight="1">
      <c r="A48" s="1" t="s">
        <v>70</v>
      </c>
      <c r="B48" s="1" t="s">
        <v>81</v>
      </c>
      <c r="C48" s="1">
        <v>47</v>
      </c>
      <c r="D48" s="1" t="s">
        <v>20</v>
      </c>
      <c r="E48" s="1"/>
      <c r="F48" s="1"/>
      <c r="G48" s="1"/>
      <c r="H48" s="1">
        <v>3</v>
      </c>
      <c r="I48" s="1">
        <v>2808</v>
      </c>
      <c r="J48" s="1">
        <v>24.766999999999999</v>
      </c>
      <c r="K48" s="1">
        <v>1048</v>
      </c>
      <c r="L48" s="1">
        <v>8.9999999999999993E-3</v>
      </c>
      <c r="M48" s="1">
        <v>3.7659999999999999E-4</v>
      </c>
      <c r="N48" s="1">
        <v>208.91499999999999</v>
      </c>
    </row>
    <row r="49" spans="1:14" ht="12.75" customHeight="1">
      <c r="A49" s="1" t="s">
        <v>70</v>
      </c>
      <c r="B49" s="1" t="s">
        <v>82</v>
      </c>
      <c r="C49" s="1">
        <v>48</v>
      </c>
      <c r="D49" s="1" t="s">
        <v>20</v>
      </c>
      <c r="E49" s="1"/>
      <c r="F49" s="1"/>
      <c r="G49" s="1"/>
      <c r="H49" s="1">
        <v>3</v>
      </c>
      <c r="I49" s="1">
        <v>2791</v>
      </c>
      <c r="J49" s="1">
        <v>24.960999999999999</v>
      </c>
      <c r="K49" s="1">
        <v>1040</v>
      </c>
      <c r="L49" s="1">
        <v>8.9999999999999993E-3</v>
      </c>
      <c r="M49" s="1">
        <v>3.7589999999999998E-4</v>
      </c>
      <c r="N49" s="1">
        <v>206.69800000000001</v>
      </c>
    </row>
    <row r="50" spans="1:14" ht="12.75" customHeight="1">
      <c r="A50" s="1" t="s">
        <v>70</v>
      </c>
      <c r="B50" s="1" t="s">
        <v>83</v>
      </c>
      <c r="C50" s="1">
        <v>49</v>
      </c>
      <c r="D50" s="1" t="s">
        <v>84</v>
      </c>
      <c r="E50" s="1"/>
      <c r="F50" s="1"/>
      <c r="G50" s="1"/>
      <c r="H50" s="1">
        <v>3</v>
      </c>
      <c r="I50" s="1">
        <v>2817</v>
      </c>
      <c r="J50" s="1">
        <v>24.797999999999998</v>
      </c>
      <c r="K50" s="1">
        <v>974</v>
      </c>
      <c r="L50" s="1">
        <v>8.0000000000000002E-3</v>
      </c>
      <c r="M50" s="1">
        <v>3.4709999999999998E-4</v>
      </c>
      <c r="N50" s="1">
        <v>114.27800000000001</v>
      </c>
    </row>
    <row r="51" spans="1:14" ht="12.75" customHeight="1">
      <c r="A51" s="1" t="s">
        <v>70</v>
      </c>
      <c r="B51" s="1" t="s">
        <v>85</v>
      </c>
      <c r="C51" s="1">
        <v>50</v>
      </c>
      <c r="D51" s="1" t="s">
        <v>84</v>
      </c>
      <c r="E51" s="1"/>
      <c r="F51" s="1"/>
      <c r="G51" s="1"/>
      <c r="H51" s="1">
        <v>3</v>
      </c>
      <c r="I51" s="1">
        <v>2765</v>
      </c>
      <c r="J51" s="1">
        <v>24.402000000000001</v>
      </c>
      <c r="K51" s="1">
        <v>953</v>
      </c>
      <c r="L51" s="1">
        <v>8.0000000000000002E-3</v>
      </c>
      <c r="M51" s="1">
        <v>3.4660000000000002E-4</v>
      </c>
      <c r="N51" s="1">
        <v>112.619</v>
      </c>
    </row>
    <row r="52" spans="1:14" ht="12.75" customHeight="1">
      <c r="A52" s="1" t="s">
        <v>70</v>
      </c>
      <c r="B52" s="1" t="s">
        <v>86</v>
      </c>
      <c r="C52" s="1">
        <v>51</v>
      </c>
      <c r="D52" s="1" t="s">
        <v>87</v>
      </c>
      <c r="E52" s="1"/>
      <c r="F52" s="1"/>
      <c r="G52" s="1"/>
      <c r="H52" s="1">
        <v>3</v>
      </c>
      <c r="I52" s="1">
        <v>2764</v>
      </c>
      <c r="J52" s="1">
        <v>24.398</v>
      </c>
      <c r="K52" s="1">
        <v>1060</v>
      </c>
      <c r="L52" s="1">
        <v>8.9999999999999993E-3</v>
      </c>
      <c r="M52" s="1">
        <v>3.8830000000000001E-4</v>
      </c>
      <c r="N52" s="1">
        <v>246.45599999999999</v>
      </c>
    </row>
    <row r="53" spans="1:14" ht="12.75" customHeight="1">
      <c r="A53" s="1" t="s">
        <v>70</v>
      </c>
      <c r="B53" s="1" t="s">
        <v>88</v>
      </c>
      <c r="C53" s="1">
        <v>52</v>
      </c>
      <c r="D53" s="1" t="s">
        <v>87</v>
      </c>
      <c r="E53" s="1"/>
      <c r="F53" s="1"/>
      <c r="G53" s="1"/>
      <c r="H53" s="1">
        <v>3</v>
      </c>
      <c r="I53" s="1">
        <v>2789</v>
      </c>
      <c r="J53" s="1">
        <v>24.523</v>
      </c>
      <c r="K53" s="1">
        <v>1073</v>
      </c>
      <c r="L53" s="1">
        <v>8.9999999999999993E-3</v>
      </c>
      <c r="M53" s="1">
        <v>3.8850000000000001E-4</v>
      </c>
      <c r="N53" s="1">
        <v>247.166</v>
      </c>
    </row>
    <row r="54" spans="1:14" ht="12.75" customHeight="1">
      <c r="A54" s="1" t="s">
        <v>70</v>
      </c>
      <c r="B54" s="1" t="s">
        <v>89</v>
      </c>
      <c r="C54" s="1">
        <v>53</v>
      </c>
      <c r="D54" s="1" t="s">
        <v>90</v>
      </c>
      <c r="E54" s="1"/>
      <c r="F54" s="1"/>
      <c r="G54" s="1"/>
      <c r="H54" s="1">
        <v>3</v>
      </c>
      <c r="I54" s="1">
        <v>2772</v>
      </c>
      <c r="J54" s="1">
        <v>24.547999999999998</v>
      </c>
      <c r="K54" s="1">
        <v>1053</v>
      </c>
      <c r="L54" s="1">
        <v>8.9999999999999993E-3</v>
      </c>
      <c r="M54" s="1">
        <v>3.8460000000000002E-4</v>
      </c>
      <c r="N54" s="1">
        <v>234.81299999999999</v>
      </c>
    </row>
    <row r="55" spans="1:14" ht="12.75" customHeight="1">
      <c r="A55" s="1" t="s">
        <v>70</v>
      </c>
      <c r="B55" s="1" t="s">
        <v>91</v>
      </c>
      <c r="C55" s="1">
        <v>54</v>
      </c>
      <c r="D55" s="1" t="s">
        <v>90</v>
      </c>
      <c r="E55" s="1"/>
      <c r="F55" s="1"/>
      <c r="G55" s="1"/>
      <c r="H55" s="1">
        <v>3</v>
      </c>
      <c r="I55" s="1">
        <v>2788</v>
      </c>
      <c r="J55" s="1">
        <v>24.483000000000001</v>
      </c>
      <c r="K55" s="1">
        <v>1059</v>
      </c>
      <c r="L55" s="1">
        <v>8.9999999999999993E-3</v>
      </c>
      <c r="M55" s="1">
        <v>3.8450000000000002E-4</v>
      </c>
      <c r="N55" s="1">
        <v>234.30699999999999</v>
      </c>
    </row>
    <row r="56" spans="1:14" ht="12.75" customHeight="1">
      <c r="A56" s="1" t="s">
        <v>70</v>
      </c>
      <c r="B56" s="1" t="s">
        <v>92</v>
      </c>
      <c r="C56" s="1">
        <v>55</v>
      </c>
      <c r="D56" s="1" t="s">
        <v>93</v>
      </c>
      <c r="E56" s="1"/>
      <c r="F56" s="1"/>
      <c r="G56" s="1"/>
      <c r="H56" s="1">
        <v>3</v>
      </c>
      <c r="I56" s="1">
        <v>2836</v>
      </c>
      <c r="J56" s="1">
        <v>25.071999999999999</v>
      </c>
      <c r="K56" s="1">
        <v>1074</v>
      </c>
      <c r="L56" s="1">
        <v>8.9999999999999993E-3</v>
      </c>
      <c r="M56" s="1">
        <v>3.8200000000000002E-4</v>
      </c>
      <c r="N56" s="1">
        <v>226.17</v>
      </c>
    </row>
    <row r="57" spans="1:14" ht="12.75" customHeight="1">
      <c r="A57" s="1" t="s">
        <v>70</v>
      </c>
      <c r="B57" s="1" t="s">
        <v>94</v>
      </c>
      <c r="C57" s="1">
        <v>56</v>
      </c>
      <c r="D57" s="1" t="s">
        <v>93</v>
      </c>
      <c r="E57" s="1"/>
      <c r="F57" s="1"/>
      <c r="G57" s="1"/>
      <c r="H57" s="1">
        <v>3</v>
      </c>
      <c r="I57" s="1">
        <v>2822</v>
      </c>
      <c r="J57" s="1">
        <v>24.975999999999999</v>
      </c>
      <c r="K57" s="1">
        <v>1067</v>
      </c>
      <c r="L57" s="1">
        <v>8.9999999999999993E-3</v>
      </c>
      <c r="M57" s="1">
        <v>3.8170000000000001E-4</v>
      </c>
      <c r="N57" s="1">
        <v>225.28899999999999</v>
      </c>
    </row>
    <row r="58" spans="1:14" ht="12.75" customHeight="1">
      <c r="A58" s="1" t="s">
        <v>70</v>
      </c>
      <c r="B58" s="1" t="s">
        <v>95</v>
      </c>
      <c r="C58" s="1">
        <v>57</v>
      </c>
      <c r="D58" s="1" t="s">
        <v>96</v>
      </c>
      <c r="E58" s="1"/>
      <c r="F58" s="1"/>
      <c r="G58" s="1"/>
      <c r="H58" s="1">
        <v>3</v>
      </c>
      <c r="I58" s="1">
        <v>2771</v>
      </c>
      <c r="J58" s="1">
        <v>24.31</v>
      </c>
      <c r="K58" s="1">
        <v>1046</v>
      </c>
      <c r="L58" s="1">
        <v>8.9999999999999993E-3</v>
      </c>
      <c r="M58" s="1">
        <v>3.812E-4</v>
      </c>
      <c r="N58" s="1">
        <v>223.846</v>
      </c>
    </row>
    <row r="59" spans="1:14" ht="12.75" customHeight="1">
      <c r="A59" s="1" t="s">
        <v>70</v>
      </c>
      <c r="B59" s="1" t="s">
        <v>97</v>
      </c>
      <c r="C59" s="1">
        <v>58</v>
      </c>
      <c r="D59" s="1" t="s">
        <v>96</v>
      </c>
      <c r="E59" s="1"/>
      <c r="F59" s="1"/>
      <c r="G59" s="1"/>
      <c r="H59" s="1">
        <v>3</v>
      </c>
      <c r="I59" s="1">
        <v>2846</v>
      </c>
      <c r="J59" s="1">
        <v>25.19</v>
      </c>
      <c r="K59" s="1">
        <v>1076</v>
      </c>
      <c r="L59" s="1">
        <v>8.9999999999999993E-3</v>
      </c>
      <c r="M59" s="1">
        <v>3.8190000000000001E-4</v>
      </c>
      <c r="N59" s="1">
        <v>225.85599999999999</v>
      </c>
    </row>
    <row r="60" spans="1:14" ht="12.75" customHeight="1">
      <c r="A60" s="1" t="s">
        <v>70</v>
      </c>
      <c r="B60" s="1" t="s">
        <v>98</v>
      </c>
      <c r="C60" s="1">
        <v>59</v>
      </c>
      <c r="D60" s="1" t="s">
        <v>20</v>
      </c>
      <c r="E60" s="1"/>
      <c r="F60" s="1"/>
      <c r="G60" s="1"/>
      <c r="H60" s="1">
        <v>3</v>
      </c>
      <c r="I60" s="1">
        <v>2796</v>
      </c>
      <c r="J60" s="1">
        <v>24.611000000000001</v>
      </c>
      <c r="K60" s="1">
        <v>1041</v>
      </c>
      <c r="L60" s="1">
        <v>8.9999999999999993E-3</v>
      </c>
      <c r="M60" s="1">
        <v>3.7609999999999998E-4</v>
      </c>
      <c r="N60" s="1">
        <v>207.31800000000001</v>
      </c>
    </row>
    <row r="61" spans="1:14" ht="12.75" customHeight="1">
      <c r="A61" s="1" t="s">
        <v>70</v>
      </c>
      <c r="B61" s="1" t="s">
        <v>99</v>
      </c>
      <c r="C61" s="1">
        <v>60</v>
      </c>
      <c r="D61" s="1" t="s">
        <v>20</v>
      </c>
      <c r="E61" s="1"/>
      <c r="F61" s="1"/>
      <c r="G61" s="1"/>
      <c r="H61" s="1">
        <v>3</v>
      </c>
      <c r="I61" s="1">
        <v>2772</v>
      </c>
      <c r="J61" s="1">
        <v>24.558</v>
      </c>
      <c r="K61" s="1">
        <v>1031</v>
      </c>
      <c r="L61" s="1">
        <v>8.0000000000000002E-3</v>
      </c>
      <c r="M61" s="1">
        <v>3.7609999999999998E-4</v>
      </c>
      <c r="N61" s="1">
        <v>207.26499999999999</v>
      </c>
    </row>
    <row r="62" spans="1:14" ht="12.75" customHeight="1">
      <c r="A62" s="1" t="s">
        <v>70</v>
      </c>
      <c r="B62" s="1" t="s">
        <v>100</v>
      </c>
      <c r="C62" s="1">
        <v>61</v>
      </c>
      <c r="D62" s="1" t="s">
        <v>101</v>
      </c>
      <c r="E62" s="1"/>
      <c r="F62" s="1"/>
      <c r="G62" s="1"/>
      <c r="H62" s="1">
        <v>3</v>
      </c>
      <c r="I62" s="1">
        <v>2763</v>
      </c>
      <c r="J62" s="1">
        <v>24.748000000000001</v>
      </c>
      <c r="K62" s="1">
        <v>1056</v>
      </c>
      <c r="L62" s="1">
        <v>8.9999999999999993E-3</v>
      </c>
      <c r="M62" s="1">
        <v>3.8690000000000003E-4</v>
      </c>
      <c r="N62" s="1">
        <v>242.09399999999999</v>
      </c>
    </row>
    <row r="63" spans="1:14" ht="12.75" customHeight="1">
      <c r="A63" s="1" t="s">
        <v>70</v>
      </c>
      <c r="B63" s="1" t="s">
        <v>102</v>
      </c>
      <c r="C63" s="1">
        <v>62</v>
      </c>
      <c r="D63" s="1" t="s">
        <v>101</v>
      </c>
      <c r="E63" s="1"/>
      <c r="F63" s="1"/>
      <c r="G63" s="1"/>
      <c r="H63" s="1">
        <v>3</v>
      </c>
      <c r="I63" s="1">
        <v>2841</v>
      </c>
      <c r="J63" s="1">
        <v>25.157</v>
      </c>
      <c r="K63" s="1">
        <v>1087</v>
      </c>
      <c r="L63" s="1">
        <v>8.9999999999999993E-3</v>
      </c>
      <c r="M63" s="1">
        <v>3.8719999999999998E-4</v>
      </c>
      <c r="N63" s="1">
        <v>243.09700000000001</v>
      </c>
    </row>
    <row r="64" spans="1:14" ht="12.75" customHeight="1">
      <c r="A64" s="1" t="s">
        <v>70</v>
      </c>
      <c r="B64" s="1" t="s">
        <v>103</v>
      </c>
      <c r="C64" s="1">
        <v>63</v>
      </c>
      <c r="D64" s="1" t="s">
        <v>104</v>
      </c>
      <c r="E64" s="1"/>
      <c r="F64" s="1"/>
      <c r="G64" s="1"/>
      <c r="H64" s="1">
        <v>3</v>
      </c>
      <c r="I64" s="1">
        <v>2897</v>
      </c>
      <c r="J64" s="1">
        <v>25.747</v>
      </c>
      <c r="K64" s="1">
        <v>1082</v>
      </c>
      <c r="L64" s="1">
        <v>8.9999999999999993E-3</v>
      </c>
      <c r="M64" s="1">
        <v>3.7579999999999997E-4</v>
      </c>
      <c r="N64" s="1">
        <v>206.291</v>
      </c>
    </row>
    <row r="65" spans="1:14" ht="12.75" customHeight="1">
      <c r="A65" s="1" t="s">
        <v>70</v>
      </c>
      <c r="B65" s="1" t="s">
        <v>105</v>
      </c>
      <c r="C65" s="1">
        <v>64</v>
      </c>
      <c r="D65" s="1" t="s">
        <v>104</v>
      </c>
      <c r="E65" s="1"/>
      <c r="F65" s="1"/>
      <c r="G65" s="1"/>
      <c r="H65" s="1">
        <v>3</v>
      </c>
      <c r="I65" s="1">
        <v>2884</v>
      </c>
      <c r="J65" s="1">
        <v>25.661999999999999</v>
      </c>
      <c r="K65" s="1">
        <v>1076</v>
      </c>
      <c r="L65" s="1">
        <v>8.9999999999999993E-3</v>
      </c>
      <c r="M65" s="1">
        <v>3.7609999999999998E-4</v>
      </c>
      <c r="N65" s="1">
        <v>207.31299999999999</v>
      </c>
    </row>
    <row r="66" spans="1:14" ht="12.75" customHeight="1">
      <c r="A66" s="1" t="s">
        <v>70</v>
      </c>
      <c r="B66" s="1" t="s">
        <v>106</v>
      </c>
      <c r="C66" s="1">
        <v>65</v>
      </c>
      <c r="D66" s="1" t="s">
        <v>107</v>
      </c>
      <c r="E66" s="1"/>
      <c r="F66" s="1"/>
      <c r="G66" s="1"/>
      <c r="H66" s="1">
        <v>3</v>
      </c>
      <c r="I66" s="1">
        <v>4320</v>
      </c>
      <c r="J66" s="1">
        <v>40.975999999999999</v>
      </c>
      <c r="K66" s="1">
        <v>1550</v>
      </c>
      <c r="L66" s="1">
        <v>1.2999999999999999E-2</v>
      </c>
      <c r="M66" s="1">
        <v>3.4890000000000002E-4</v>
      </c>
      <c r="N66" s="1">
        <v>120.125</v>
      </c>
    </row>
    <row r="67" spans="1:14" ht="12.75" customHeight="1">
      <c r="A67" s="1" t="s">
        <v>70</v>
      </c>
      <c r="B67" s="1" t="s">
        <v>108</v>
      </c>
      <c r="C67" s="1">
        <v>66</v>
      </c>
      <c r="D67" s="1" t="s">
        <v>107</v>
      </c>
      <c r="E67" s="1"/>
      <c r="F67" s="1"/>
      <c r="G67" s="1"/>
      <c r="H67" s="1">
        <v>3</v>
      </c>
      <c r="I67" s="1">
        <v>2903</v>
      </c>
      <c r="J67" s="1">
        <v>25.988</v>
      </c>
      <c r="K67" s="1">
        <v>1010</v>
      </c>
      <c r="L67" s="1">
        <v>8.0000000000000002E-3</v>
      </c>
      <c r="M67" s="1">
        <v>3.4890000000000002E-4</v>
      </c>
      <c r="N67" s="1">
        <v>120.155</v>
      </c>
    </row>
    <row r="68" spans="1:14" ht="12.75" customHeight="1">
      <c r="A68" s="1" t="s">
        <v>70</v>
      </c>
      <c r="B68" s="1" t="s">
        <v>109</v>
      </c>
      <c r="C68" s="1">
        <v>67</v>
      </c>
      <c r="D68" s="1" t="s">
        <v>110</v>
      </c>
      <c r="E68" s="1"/>
      <c r="F68" s="1"/>
      <c r="G68" s="1"/>
      <c r="H68" s="1">
        <v>3</v>
      </c>
      <c r="I68" s="1">
        <v>2756</v>
      </c>
      <c r="J68" s="1">
        <v>24.5</v>
      </c>
      <c r="K68" s="1">
        <v>971</v>
      </c>
      <c r="L68" s="1">
        <v>8.0000000000000002E-3</v>
      </c>
      <c r="M68" s="1">
        <v>3.547E-4</v>
      </c>
      <c r="N68" s="1">
        <v>138.559</v>
      </c>
    </row>
    <row r="69" spans="1:14" ht="12.75" customHeight="1">
      <c r="A69" s="1" t="s">
        <v>70</v>
      </c>
      <c r="B69" s="1" t="s">
        <v>111</v>
      </c>
      <c r="C69" s="1">
        <v>68</v>
      </c>
      <c r="D69" s="1" t="s">
        <v>110</v>
      </c>
      <c r="E69" s="1"/>
      <c r="F69" s="1"/>
      <c r="G69" s="1"/>
      <c r="H69" s="1">
        <v>3</v>
      </c>
      <c r="I69" s="1">
        <v>2722</v>
      </c>
      <c r="J69" s="1">
        <v>24.363</v>
      </c>
      <c r="K69" s="1">
        <v>960</v>
      </c>
      <c r="L69" s="1">
        <v>8.0000000000000002E-3</v>
      </c>
      <c r="M69" s="1">
        <v>3.546E-4</v>
      </c>
      <c r="N69" s="1">
        <v>138.434</v>
      </c>
    </row>
    <row r="70" spans="1:14" ht="12.75" customHeight="1">
      <c r="A70" s="1" t="s">
        <v>70</v>
      </c>
      <c r="B70" s="1" t="s">
        <v>112</v>
      </c>
      <c r="C70" s="1">
        <v>69</v>
      </c>
      <c r="D70" s="1" t="s">
        <v>113</v>
      </c>
      <c r="E70" s="1"/>
      <c r="F70" s="1"/>
      <c r="G70" s="1"/>
      <c r="H70" s="1">
        <v>3</v>
      </c>
      <c r="I70" s="1">
        <v>2806</v>
      </c>
      <c r="J70" s="1">
        <v>24.963000000000001</v>
      </c>
      <c r="K70" s="1">
        <v>1027</v>
      </c>
      <c r="L70" s="1">
        <v>8.0000000000000002E-3</v>
      </c>
      <c r="M70" s="1">
        <v>3.6890000000000002E-4</v>
      </c>
      <c r="N70" s="1">
        <v>184.18199999999999</v>
      </c>
    </row>
    <row r="71" spans="1:14" ht="12.75" customHeight="1">
      <c r="A71" s="1" t="s">
        <v>70</v>
      </c>
      <c r="B71" s="1" t="s">
        <v>114</v>
      </c>
      <c r="C71" s="1">
        <v>70</v>
      </c>
      <c r="D71" s="1" t="s">
        <v>113</v>
      </c>
      <c r="E71" s="1"/>
      <c r="F71" s="1"/>
      <c r="G71" s="1"/>
      <c r="H71" s="1">
        <v>3</v>
      </c>
      <c r="I71" s="1">
        <v>2782</v>
      </c>
      <c r="J71" s="1">
        <v>24.809000000000001</v>
      </c>
      <c r="K71" s="1">
        <v>1019</v>
      </c>
      <c r="L71" s="1">
        <v>8.0000000000000002E-3</v>
      </c>
      <c r="M71" s="1">
        <v>3.6989999999999999E-4</v>
      </c>
      <c r="N71" s="1">
        <v>187.53</v>
      </c>
    </row>
    <row r="72" spans="1:14" ht="12.75" customHeight="1">
      <c r="A72" s="1" t="s">
        <v>70</v>
      </c>
      <c r="B72" s="1" t="s">
        <v>115</v>
      </c>
      <c r="C72" s="1">
        <v>71</v>
      </c>
      <c r="D72" s="1" t="s">
        <v>20</v>
      </c>
      <c r="E72" s="1"/>
      <c r="F72" s="1"/>
      <c r="G72" s="1"/>
      <c r="H72" s="1">
        <v>3</v>
      </c>
      <c r="I72" s="1">
        <v>2835</v>
      </c>
      <c r="J72" s="1">
        <v>25.396999999999998</v>
      </c>
      <c r="K72" s="1">
        <v>1056</v>
      </c>
      <c r="L72" s="1">
        <v>8.9999999999999993E-3</v>
      </c>
      <c r="M72" s="1">
        <v>3.7579999999999997E-4</v>
      </c>
      <c r="N72" s="1">
        <v>206.42</v>
      </c>
    </row>
    <row r="73" spans="1:14" ht="12.75" customHeight="1">
      <c r="A73" s="1" t="s">
        <v>70</v>
      </c>
      <c r="B73" s="1" t="s">
        <v>116</v>
      </c>
      <c r="C73" s="1">
        <v>72</v>
      </c>
      <c r="D73" s="1" t="s">
        <v>20</v>
      </c>
      <c r="E73" s="1"/>
      <c r="F73" s="1"/>
      <c r="G73" s="1"/>
      <c r="H73" s="1">
        <v>3</v>
      </c>
      <c r="I73" s="1">
        <v>2774</v>
      </c>
      <c r="J73" s="1">
        <v>24.702000000000002</v>
      </c>
      <c r="K73" s="1">
        <v>1033</v>
      </c>
      <c r="L73" s="1">
        <v>8.9999999999999993E-3</v>
      </c>
      <c r="M73" s="1">
        <v>3.7589999999999998E-4</v>
      </c>
      <c r="N73" s="1">
        <v>206.70099999999999</v>
      </c>
    </row>
    <row r="74" spans="1:14" ht="12.75" customHeight="1">
      <c r="A74" s="1" t="s">
        <v>70</v>
      </c>
      <c r="B74" s="1" t="s">
        <v>117</v>
      </c>
      <c r="C74" s="1">
        <v>73</v>
      </c>
      <c r="D74" s="1" t="s">
        <v>118</v>
      </c>
      <c r="E74" s="1"/>
      <c r="F74" s="1"/>
      <c r="G74" s="1"/>
      <c r="H74" s="1">
        <v>3</v>
      </c>
      <c r="I74" s="1">
        <v>2796</v>
      </c>
      <c r="J74" s="1">
        <v>25.187000000000001</v>
      </c>
      <c r="K74" s="1">
        <v>1068</v>
      </c>
      <c r="L74" s="1">
        <v>8.9999999999999993E-3</v>
      </c>
      <c r="M74" s="1">
        <v>3.86E-4</v>
      </c>
      <c r="N74" s="1">
        <v>239.143</v>
      </c>
    </row>
    <row r="75" spans="1:14" ht="12.75" customHeight="1">
      <c r="A75" s="1" t="s">
        <v>70</v>
      </c>
      <c r="B75" s="1" t="s">
        <v>119</v>
      </c>
      <c r="C75" s="1">
        <v>74</v>
      </c>
      <c r="D75" s="1" t="s">
        <v>118</v>
      </c>
      <c r="E75" s="1"/>
      <c r="F75" s="1"/>
      <c r="G75" s="1"/>
      <c r="H75" s="1">
        <v>3</v>
      </c>
      <c r="I75" s="1">
        <v>2733</v>
      </c>
      <c r="J75" s="1">
        <v>24.396000000000001</v>
      </c>
      <c r="K75" s="1">
        <v>1043</v>
      </c>
      <c r="L75" s="1">
        <v>8.9999999999999993E-3</v>
      </c>
      <c r="M75" s="1">
        <v>3.8709999999999998E-4</v>
      </c>
      <c r="N75" s="1">
        <v>242.779</v>
      </c>
    </row>
    <row r="76" spans="1:14" ht="12.75" customHeight="1">
      <c r="A76" s="1" t="s">
        <v>70</v>
      </c>
      <c r="B76" s="1" t="s">
        <v>120</v>
      </c>
      <c r="C76" s="1">
        <v>75</v>
      </c>
      <c r="D76" s="1" t="s">
        <v>121</v>
      </c>
      <c r="E76" s="1"/>
      <c r="F76" s="1"/>
      <c r="G76" s="1"/>
      <c r="H76" s="1">
        <v>3</v>
      </c>
      <c r="I76" s="1">
        <v>2793</v>
      </c>
      <c r="J76" s="1">
        <v>24.695</v>
      </c>
      <c r="K76" s="1">
        <v>1075</v>
      </c>
      <c r="L76" s="1">
        <v>8.9999999999999993E-3</v>
      </c>
      <c r="M76" s="1">
        <v>3.8910000000000003E-4</v>
      </c>
      <c r="N76" s="1">
        <v>249.08500000000001</v>
      </c>
    </row>
    <row r="77" spans="1:14" ht="12.75" customHeight="1">
      <c r="A77" s="1" t="s">
        <v>70</v>
      </c>
      <c r="B77" s="1" t="s">
        <v>122</v>
      </c>
      <c r="C77" s="1">
        <v>76</v>
      </c>
      <c r="D77" s="1" t="s">
        <v>121</v>
      </c>
      <c r="E77" s="1"/>
      <c r="F77" s="1"/>
      <c r="G77" s="1"/>
      <c r="H77" s="1">
        <v>3</v>
      </c>
      <c r="I77" s="1">
        <v>2745</v>
      </c>
      <c r="J77" s="1">
        <v>24.495000000000001</v>
      </c>
      <c r="K77" s="1">
        <v>1056</v>
      </c>
      <c r="L77" s="1">
        <v>8.9999999999999993E-3</v>
      </c>
      <c r="M77" s="1">
        <v>3.8989999999999999E-4</v>
      </c>
      <c r="N77" s="1">
        <v>251.529</v>
      </c>
    </row>
    <row r="78" spans="1:14" ht="12.75" customHeight="1">
      <c r="A78" s="1" t="s">
        <v>70</v>
      </c>
      <c r="B78" s="1" t="s">
        <v>123</v>
      </c>
      <c r="C78" s="1">
        <v>77</v>
      </c>
      <c r="D78" s="1" t="s">
        <v>124</v>
      </c>
      <c r="E78" s="1"/>
      <c r="F78" s="1"/>
      <c r="G78" s="1"/>
      <c r="H78" s="1">
        <v>3</v>
      </c>
      <c r="I78" s="1">
        <v>2818</v>
      </c>
      <c r="J78" s="1">
        <v>24.788</v>
      </c>
      <c r="K78" s="1">
        <v>1096</v>
      </c>
      <c r="L78" s="1">
        <v>8.9999999999999993E-3</v>
      </c>
      <c r="M78" s="1">
        <v>3.9409999999999998E-4</v>
      </c>
      <c r="N78" s="1">
        <v>265.11900000000003</v>
      </c>
    </row>
    <row r="79" spans="1:14" ht="12.75" customHeight="1">
      <c r="A79" s="1" t="s">
        <v>70</v>
      </c>
      <c r="B79" s="1" t="s">
        <v>125</v>
      </c>
      <c r="C79" s="1">
        <v>78</v>
      </c>
      <c r="D79" s="1" t="s">
        <v>124</v>
      </c>
      <c r="E79" s="1"/>
      <c r="F79" s="1"/>
      <c r="G79" s="1"/>
      <c r="H79" s="1">
        <v>3</v>
      </c>
      <c r="I79" s="1">
        <v>2749</v>
      </c>
      <c r="J79" s="1">
        <v>24.597999999999999</v>
      </c>
      <c r="K79" s="1">
        <v>1069</v>
      </c>
      <c r="L79" s="1">
        <v>8.9999999999999993E-3</v>
      </c>
      <c r="M79" s="1">
        <v>3.9530000000000001E-4</v>
      </c>
      <c r="N79" s="1">
        <v>269.02699999999999</v>
      </c>
    </row>
    <row r="80" spans="1:14" ht="12.75" customHeight="1">
      <c r="A80" s="1" t="s">
        <v>70</v>
      </c>
      <c r="B80" s="1" t="s">
        <v>126</v>
      </c>
      <c r="C80" s="1">
        <v>79</v>
      </c>
      <c r="D80" s="1" t="s">
        <v>127</v>
      </c>
      <c r="E80" s="1"/>
      <c r="F80" s="1"/>
      <c r="G80" s="1"/>
      <c r="H80" s="1">
        <v>3</v>
      </c>
      <c r="I80" s="1">
        <v>2823</v>
      </c>
      <c r="J80" s="1">
        <v>25.018000000000001</v>
      </c>
      <c r="K80" s="1">
        <v>1080</v>
      </c>
      <c r="L80" s="1">
        <v>8.9999999999999993E-3</v>
      </c>
      <c r="M80" s="1">
        <v>3.8709999999999998E-4</v>
      </c>
      <c r="N80" s="1">
        <v>242.71600000000001</v>
      </c>
    </row>
    <row r="81" spans="1:14" ht="12.75" customHeight="1">
      <c r="A81" s="1" t="s">
        <v>70</v>
      </c>
      <c r="B81" s="1" t="s">
        <v>128</v>
      </c>
      <c r="C81" s="1">
        <v>80</v>
      </c>
      <c r="D81" s="1" t="s">
        <v>127</v>
      </c>
      <c r="E81" s="1"/>
      <c r="F81" s="1"/>
      <c r="G81" s="1"/>
      <c r="H81" s="1">
        <v>3</v>
      </c>
      <c r="I81" s="1">
        <v>2813</v>
      </c>
      <c r="J81" s="1">
        <v>25.155000000000001</v>
      </c>
      <c r="K81" s="1">
        <v>1075</v>
      </c>
      <c r="L81" s="1">
        <v>8.9999999999999993E-3</v>
      </c>
      <c r="M81" s="1">
        <v>3.8549999999999999E-4</v>
      </c>
      <c r="N81" s="1">
        <v>237.535</v>
      </c>
    </row>
    <row r="82" spans="1:14" ht="12.75" customHeight="1">
      <c r="A82" s="1" t="s">
        <v>70</v>
      </c>
      <c r="B82" s="1" t="s">
        <v>129</v>
      </c>
      <c r="C82" s="1">
        <v>81</v>
      </c>
      <c r="D82" s="1" t="s">
        <v>130</v>
      </c>
      <c r="E82" s="1"/>
      <c r="F82" s="1"/>
      <c r="G82" s="1"/>
      <c r="H82" s="1">
        <v>3</v>
      </c>
      <c r="I82" s="1">
        <v>2840</v>
      </c>
      <c r="J82" s="1">
        <v>25.56</v>
      </c>
      <c r="K82" s="1">
        <v>1075</v>
      </c>
      <c r="L82" s="1">
        <v>8.9999999999999993E-3</v>
      </c>
      <c r="M82" s="1">
        <v>3.8160000000000001E-4</v>
      </c>
      <c r="N82" s="1">
        <v>224.952</v>
      </c>
    </row>
    <row r="83" spans="1:14" ht="12.75" customHeight="1">
      <c r="A83" s="1" t="s">
        <v>70</v>
      </c>
      <c r="B83" s="1" t="s">
        <v>131</v>
      </c>
      <c r="C83" s="1">
        <v>82</v>
      </c>
      <c r="D83" s="1" t="s">
        <v>130</v>
      </c>
      <c r="E83" s="1"/>
      <c r="F83" s="1"/>
      <c r="G83" s="1"/>
      <c r="H83" s="1">
        <v>3</v>
      </c>
      <c r="I83" s="1">
        <v>2824</v>
      </c>
      <c r="J83" s="1">
        <v>24.934000000000001</v>
      </c>
      <c r="K83" s="1">
        <v>1069</v>
      </c>
      <c r="L83" s="1">
        <v>8.9999999999999993E-3</v>
      </c>
      <c r="M83" s="1">
        <v>3.8220000000000002E-4</v>
      </c>
      <c r="N83" s="1">
        <v>227.011</v>
      </c>
    </row>
    <row r="84" spans="1:14" ht="12.75" customHeight="1">
      <c r="A84" s="1" t="s">
        <v>70</v>
      </c>
      <c r="B84" s="1" t="s">
        <v>132</v>
      </c>
      <c r="C84" s="1">
        <v>83</v>
      </c>
      <c r="D84" s="1" t="s">
        <v>20</v>
      </c>
      <c r="E84" s="1"/>
      <c r="F84" s="1"/>
      <c r="G84" s="1"/>
      <c r="H84" s="1">
        <v>3</v>
      </c>
      <c r="I84" s="1">
        <v>2783</v>
      </c>
      <c r="J84" s="1">
        <v>24.497</v>
      </c>
      <c r="K84" s="1">
        <v>1038</v>
      </c>
      <c r="L84" s="1">
        <v>8.0000000000000002E-3</v>
      </c>
      <c r="M84" s="1">
        <v>3.7629999999999999E-4</v>
      </c>
      <c r="N84" s="1">
        <v>208.035</v>
      </c>
    </row>
    <row r="85" spans="1:14" ht="12.75" customHeight="1">
      <c r="A85" s="1" t="s">
        <v>70</v>
      </c>
      <c r="B85" s="1" t="s">
        <v>133</v>
      </c>
      <c r="C85" s="1">
        <v>84</v>
      </c>
      <c r="D85" s="1" t="s">
        <v>20</v>
      </c>
      <c r="E85" s="1"/>
      <c r="F85" s="1"/>
      <c r="G85" s="1"/>
      <c r="H85" s="1">
        <v>3</v>
      </c>
      <c r="I85" s="1">
        <v>2853</v>
      </c>
      <c r="J85" s="1">
        <v>25.077999999999999</v>
      </c>
      <c r="K85" s="1">
        <v>1065</v>
      </c>
      <c r="L85" s="1">
        <v>8.9999999999999993E-3</v>
      </c>
      <c r="M85" s="1">
        <v>3.7639999999999999E-4</v>
      </c>
      <c r="N85" s="1">
        <v>208.45599999999999</v>
      </c>
    </row>
    <row r="86" spans="1:14" ht="12.75" customHeight="1">
      <c r="A86" s="1" t="s">
        <v>70</v>
      </c>
      <c r="B86" s="1" t="s">
        <v>134</v>
      </c>
      <c r="C86" s="1">
        <v>85</v>
      </c>
      <c r="D86" s="1" t="s">
        <v>135</v>
      </c>
      <c r="E86" s="1"/>
      <c r="F86" s="1"/>
      <c r="G86" s="1"/>
      <c r="H86" s="1">
        <v>3</v>
      </c>
      <c r="I86" s="1">
        <v>2868</v>
      </c>
      <c r="J86" s="1">
        <v>25.303999999999998</v>
      </c>
      <c r="K86" s="1">
        <v>1063</v>
      </c>
      <c r="L86" s="1">
        <v>8.9999999999999993E-3</v>
      </c>
      <c r="M86" s="1">
        <v>3.745E-4</v>
      </c>
      <c r="N86" s="1">
        <v>202.392</v>
      </c>
    </row>
    <row r="87" spans="1:14" ht="12.75" customHeight="1">
      <c r="A87" s="1" t="s">
        <v>70</v>
      </c>
      <c r="B87" s="1" t="s">
        <v>136</v>
      </c>
      <c r="C87" s="1">
        <v>86</v>
      </c>
      <c r="D87" s="1" t="s">
        <v>135</v>
      </c>
      <c r="E87" s="1"/>
      <c r="F87" s="1"/>
      <c r="G87" s="1"/>
      <c r="H87" s="1">
        <v>3</v>
      </c>
      <c r="I87" s="1">
        <v>2957</v>
      </c>
      <c r="J87" s="1">
        <v>26.789000000000001</v>
      </c>
      <c r="K87" s="1">
        <v>1099</v>
      </c>
      <c r="L87" s="1">
        <v>8.9999999999999993E-3</v>
      </c>
      <c r="M87" s="1">
        <v>3.7359999999999997E-4</v>
      </c>
      <c r="N87" s="1">
        <v>199.46899999999999</v>
      </c>
    </row>
    <row r="88" spans="1:14" ht="12.75" customHeight="1">
      <c r="A88" s="1" t="s">
        <v>70</v>
      </c>
      <c r="B88" s="1" t="s">
        <v>137</v>
      </c>
      <c r="C88" s="1">
        <v>87</v>
      </c>
      <c r="D88" s="1" t="s">
        <v>138</v>
      </c>
      <c r="E88" s="1"/>
      <c r="F88" s="1"/>
      <c r="G88" s="1"/>
      <c r="H88" s="1">
        <v>3</v>
      </c>
      <c r="I88" s="1">
        <v>2705</v>
      </c>
      <c r="J88" s="1">
        <v>24.222000000000001</v>
      </c>
      <c r="K88" s="1">
        <v>1009</v>
      </c>
      <c r="L88" s="1">
        <v>8.0000000000000002E-3</v>
      </c>
      <c r="M88" s="1">
        <v>3.7800000000000003E-4</v>
      </c>
      <c r="N88" s="1">
        <v>213.63</v>
      </c>
    </row>
    <row r="89" spans="1:14" ht="12.75" customHeight="1">
      <c r="A89" s="1" t="s">
        <v>70</v>
      </c>
      <c r="B89" s="1" t="s">
        <v>139</v>
      </c>
      <c r="C89" s="1">
        <v>88</v>
      </c>
      <c r="D89" s="1" t="s">
        <v>138</v>
      </c>
      <c r="E89" s="1"/>
      <c r="F89" s="1"/>
      <c r="G89" s="1"/>
      <c r="H89" s="1">
        <v>3</v>
      </c>
      <c r="I89" s="1">
        <v>2709</v>
      </c>
      <c r="J89" s="1">
        <v>24.427</v>
      </c>
      <c r="K89" s="1">
        <v>1011</v>
      </c>
      <c r="L89" s="1">
        <v>8.0000000000000002E-3</v>
      </c>
      <c r="M89" s="1">
        <v>3.7750000000000001E-4</v>
      </c>
      <c r="N89" s="1">
        <v>211.81700000000001</v>
      </c>
    </row>
    <row r="90" spans="1:14" ht="12.75" customHeight="1">
      <c r="A90" s="1" t="s">
        <v>70</v>
      </c>
      <c r="B90" s="1" t="s">
        <v>140</v>
      </c>
      <c r="C90" s="1">
        <v>89</v>
      </c>
      <c r="D90" s="1" t="s">
        <v>141</v>
      </c>
      <c r="E90" s="1"/>
      <c r="F90" s="1"/>
      <c r="G90" s="1"/>
      <c r="H90" s="1">
        <v>3</v>
      </c>
      <c r="I90" s="1">
        <v>2798</v>
      </c>
      <c r="J90" s="1">
        <v>24.609000000000002</v>
      </c>
      <c r="K90" s="1">
        <v>992</v>
      </c>
      <c r="L90" s="1">
        <v>8.0000000000000002E-3</v>
      </c>
      <c r="M90" s="1">
        <v>3.5649999999999999E-4</v>
      </c>
      <c r="N90" s="1">
        <v>144.554</v>
      </c>
    </row>
    <row r="91" spans="1:14" ht="12.75" customHeight="1">
      <c r="A91" s="1" t="s">
        <v>70</v>
      </c>
      <c r="B91" s="1" t="s">
        <v>142</v>
      </c>
      <c r="C91" s="1">
        <v>90</v>
      </c>
      <c r="D91" s="1" t="s">
        <v>141</v>
      </c>
      <c r="E91" s="1"/>
      <c r="F91" s="1"/>
      <c r="G91" s="1"/>
      <c r="H91" s="1">
        <v>3</v>
      </c>
      <c r="I91" s="1">
        <v>2791</v>
      </c>
      <c r="J91" s="1">
        <v>25.013999999999999</v>
      </c>
      <c r="K91" s="1">
        <v>989</v>
      </c>
      <c r="L91" s="1">
        <v>8.0000000000000002E-3</v>
      </c>
      <c r="M91" s="1">
        <v>3.5589999999999998E-4</v>
      </c>
      <c r="N91" s="1">
        <v>142.68299999999999</v>
      </c>
    </row>
    <row r="92" spans="1:14" ht="12.75" customHeight="1">
      <c r="A92" s="1" t="s">
        <v>70</v>
      </c>
      <c r="B92" s="1" t="s">
        <v>143</v>
      </c>
      <c r="C92" s="1">
        <v>91</v>
      </c>
      <c r="D92" s="1" t="s">
        <v>144</v>
      </c>
      <c r="E92" s="1"/>
      <c r="F92" s="1"/>
      <c r="G92" s="1"/>
      <c r="H92" s="1">
        <v>3</v>
      </c>
      <c r="I92" s="1">
        <v>2773</v>
      </c>
      <c r="J92" s="1">
        <v>25.068000000000001</v>
      </c>
      <c r="K92" s="1">
        <v>995</v>
      </c>
      <c r="L92" s="1">
        <v>8.0000000000000002E-3</v>
      </c>
      <c r="M92" s="1">
        <v>3.6160000000000001E-4</v>
      </c>
      <c r="N92" s="1">
        <v>160.869</v>
      </c>
    </row>
    <row r="93" spans="1:14" ht="12.75" customHeight="1">
      <c r="A93" s="1" t="s">
        <v>70</v>
      </c>
      <c r="B93" s="1" t="s">
        <v>145</v>
      </c>
      <c r="C93" s="1">
        <v>92</v>
      </c>
      <c r="D93" s="1" t="s">
        <v>144</v>
      </c>
      <c r="E93" s="1"/>
      <c r="F93" s="1"/>
      <c r="G93" s="1"/>
      <c r="H93" s="1">
        <v>3</v>
      </c>
      <c r="I93" s="1">
        <v>2732</v>
      </c>
      <c r="J93" s="1">
        <v>24.001000000000001</v>
      </c>
      <c r="K93" s="1">
        <v>980</v>
      </c>
      <c r="L93" s="1">
        <v>8.0000000000000002E-3</v>
      </c>
      <c r="M93" s="1">
        <v>3.6170000000000001E-4</v>
      </c>
      <c r="N93" s="1">
        <v>161.03800000000001</v>
      </c>
    </row>
    <row r="94" spans="1:14" ht="12.75" customHeight="1">
      <c r="A94" s="1" t="s">
        <v>70</v>
      </c>
      <c r="B94" s="1" t="s">
        <v>146</v>
      </c>
      <c r="C94" s="1">
        <v>93</v>
      </c>
      <c r="D94" s="1" t="s">
        <v>147</v>
      </c>
      <c r="E94" s="1"/>
      <c r="F94" s="1"/>
      <c r="G94" s="1"/>
      <c r="H94" s="1">
        <v>3</v>
      </c>
      <c r="I94" s="1">
        <v>2758</v>
      </c>
      <c r="J94" s="1">
        <v>24.719000000000001</v>
      </c>
      <c r="K94" s="1">
        <v>1016</v>
      </c>
      <c r="L94" s="1">
        <v>8.0000000000000002E-3</v>
      </c>
      <c r="M94" s="1">
        <v>3.7080000000000001E-4</v>
      </c>
      <c r="N94" s="1">
        <v>190.273</v>
      </c>
    </row>
    <row r="95" spans="1:14" ht="12.75" customHeight="1">
      <c r="A95" s="1" t="s">
        <v>70</v>
      </c>
      <c r="B95" s="1" t="s">
        <v>148</v>
      </c>
      <c r="C95" s="1">
        <v>94</v>
      </c>
      <c r="D95" s="1" t="s">
        <v>147</v>
      </c>
      <c r="E95" s="1"/>
      <c r="F95" s="1"/>
      <c r="G95" s="1"/>
      <c r="H95" s="1">
        <v>3</v>
      </c>
      <c r="I95" s="1">
        <v>2797</v>
      </c>
      <c r="J95" s="1">
        <v>25.196999999999999</v>
      </c>
      <c r="K95" s="1">
        <v>1031</v>
      </c>
      <c r="L95" s="1">
        <v>8.9999999999999993E-3</v>
      </c>
      <c r="M95" s="1">
        <v>3.7130000000000003E-4</v>
      </c>
      <c r="N95" s="1">
        <v>192.10400000000001</v>
      </c>
    </row>
    <row r="96" spans="1:14" ht="12.75" customHeight="1">
      <c r="A96" s="1" t="s">
        <v>70</v>
      </c>
      <c r="B96" s="1" t="s">
        <v>149</v>
      </c>
      <c r="C96" s="1">
        <v>95</v>
      </c>
      <c r="D96" s="1" t="s">
        <v>20</v>
      </c>
      <c r="E96" s="1"/>
      <c r="F96" s="1"/>
      <c r="G96" s="1"/>
      <c r="H96" s="1">
        <v>3</v>
      </c>
      <c r="I96" s="1">
        <v>2778</v>
      </c>
      <c r="J96" s="1">
        <v>24.744</v>
      </c>
      <c r="K96" s="1">
        <v>1034</v>
      </c>
      <c r="L96" s="1">
        <v>8.9999999999999993E-3</v>
      </c>
      <c r="M96" s="1">
        <v>3.7579999999999997E-4</v>
      </c>
      <c r="N96" s="1">
        <v>206.47499999999999</v>
      </c>
    </row>
    <row r="97" spans="1:14" ht="12.75" customHeight="1">
      <c r="A97" s="1" t="s">
        <v>70</v>
      </c>
      <c r="B97" s="1" t="s">
        <v>150</v>
      </c>
      <c r="C97" s="1">
        <v>96</v>
      </c>
      <c r="D97" s="1" t="s">
        <v>20</v>
      </c>
      <c r="E97" s="1"/>
      <c r="F97" s="1"/>
      <c r="G97" s="1"/>
      <c r="H97" s="1">
        <v>3</v>
      </c>
      <c r="I97" s="1">
        <v>2806</v>
      </c>
      <c r="J97" s="1">
        <v>25.274999999999999</v>
      </c>
      <c r="K97" s="1">
        <v>1046</v>
      </c>
      <c r="L97" s="1">
        <v>8.9999999999999993E-3</v>
      </c>
      <c r="M97" s="1">
        <v>3.7570000000000002E-4</v>
      </c>
      <c r="N97" s="1">
        <v>206.227</v>
      </c>
    </row>
    <row r="98" spans="1:14" ht="12.75" customHeight="1">
      <c r="A98" s="1" t="s">
        <v>70</v>
      </c>
      <c r="B98" s="1" t="s">
        <v>151</v>
      </c>
      <c r="C98" s="1">
        <v>97</v>
      </c>
      <c r="D98" s="1" t="s">
        <v>152</v>
      </c>
      <c r="E98" s="1"/>
      <c r="F98" s="1"/>
      <c r="G98" s="1"/>
      <c r="H98" s="1">
        <v>3</v>
      </c>
      <c r="I98" s="1">
        <v>2760</v>
      </c>
      <c r="J98" s="1">
        <v>24.994</v>
      </c>
      <c r="K98" s="1">
        <v>1033</v>
      </c>
      <c r="L98" s="1">
        <v>8.9999999999999993E-3</v>
      </c>
      <c r="M98" s="1">
        <v>3.79E-4</v>
      </c>
      <c r="N98" s="1">
        <v>216.63900000000001</v>
      </c>
    </row>
    <row r="99" spans="1:14" ht="12.75" customHeight="1">
      <c r="A99" s="1" t="s">
        <v>70</v>
      </c>
      <c r="B99" s="1" t="s">
        <v>153</v>
      </c>
      <c r="C99" s="1">
        <v>98</v>
      </c>
      <c r="D99" s="1" t="s">
        <v>152</v>
      </c>
      <c r="E99" s="1"/>
      <c r="F99" s="1"/>
      <c r="G99" s="1"/>
      <c r="H99" s="1">
        <v>3</v>
      </c>
      <c r="I99" s="1">
        <v>2755</v>
      </c>
      <c r="J99" s="1">
        <v>24.623000000000001</v>
      </c>
      <c r="K99" s="1">
        <v>1032</v>
      </c>
      <c r="L99" s="1">
        <v>8.9999999999999993E-3</v>
      </c>
      <c r="M99" s="1">
        <v>3.793E-4</v>
      </c>
      <c r="N99" s="1">
        <v>217.77699999999999</v>
      </c>
    </row>
    <row r="100" spans="1:14" ht="12.75" customHeight="1">
      <c r="A100" s="1" t="s">
        <v>70</v>
      </c>
      <c r="B100" s="1" t="s">
        <v>154</v>
      </c>
      <c r="C100" s="1">
        <v>99</v>
      </c>
      <c r="D100" s="1" t="s">
        <v>155</v>
      </c>
      <c r="E100" s="1"/>
      <c r="F100" s="1"/>
      <c r="G100" s="1"/>
      <c r="H100" s="1">
        <v>3</v>
      </c>
      <c r="I100" s="1">
        <v>2810</v>
      </c>
      <c r="J100" s="1">
        <v>25.42</v>
      </c>
      <c r="K100" s="1">
        <v>1061</v>
      </c>
      <c r="L100" s="1">
        <v>8.9999999999999993E-3</v>
      </c>
      <c r="M100" s="1">
        <v>3.8099999999999999E-4</v>
      </c>
      <c r="N100" s="1">
        <v>222.983</v>
      </c>
    </row>
    <row r="101" spans="1:14" ht="12.75" customHeight="1">
      <c r="A101" s="1" t="s">
        <v>70</v>
      </c>
      <c r="B101" s="1" t="s">
        <v>156</v>
      </c>
      <c r="C101" s="1">
        <v>100</v>
      </c>
      <c r="D101" s="1" t="s">
        <v>155</v>
      </c>
      <c r="E101" s="1"/>
      <c r="F101" s="1"/>
      <c r="G101" s="1"/>
      <c r="H101" s="1">
        <v>3</v>
      </c>
      <c r="I101" s="1">
        <v>2792</v>
      </c>
      <c r="J101" s="1">
        <v>25.286000000000001</v>
      </c>
      <c r="K101" s="1">
        <v>1055</v>
      </c>
      <c r="L101" s="1">
        <v>8.9999999999999993E-3</v>
      </c>
      <c r="M101" s="1">
        <v>3.8220000000000002E-4</v>
      </c>
      <c r="N101" s="1">
        <v>227.07900000000001</v>
      </c>
    </row>
    <row r="102" spans="1:14" ht="12.75" customHeight="1">
      <c r="A102" s="1" t="s">
        <v>70</v>
      </c>
      <c r="B102" s="1" t="s">
        <v>157</v>
      </c>
      <c r="C102" s="1">
        <v>101</v>
      </c>
      <c r="D102" s="1" t="s">
        <v>158</v>
      </c>
      <c r="E102" s="1"/>
      <c r="F102" s="1"/>
      <c r="G102" s="1"/>
      <c r="H102" s="1">
        <v>3</v>
      </c>
      <c r="I102" s="1">
        <v>2778</v>
      </c>
      <c r="J102" s="1">
        <v>25.238</v>
      </c>
      <c r="K102" s="1">
        <v>1044</v>
      </c>
      <c r="L102" s="1">
        <v>8.9999999999999993E-3</v>
      </c>
      <c r="M102" s="1">
        <v>3.7960000000000001E-4</v>
      </c>
      <c r="N102" s="1">
        <v>218.66</v>
      </c>
    </row>
    <row r="103" spans="1:14" ht="12.75" customHeight="1">
      <c r="A103" s="1" t="s">
        <v>70</v>
      </c>
      <c r="B103" s="1" t="s">
        <v>159</v>
      </c>
      <c r="C103" s="1">
        <v>102</v>
      </c>
      <c r="D103" s="1" t="s">
        <v>158</v>
      </c>
      <c r="E103" s="1"/>
      <c r="F103" s="1"/>
      <c r="G103" s="1"/>
      <c r="H103" s="1">
        <v>3</v>
      </c>
      <c r="I103" s="1">
        <v>2804</v>
      </c>
      <c r="J103" s="1">
        <v>25.175000000000001</v>
      </c>
      <c r="K103" s="1">
        <v>1054</v>
      </c>
      <c r="L103" s="1">
        <v>8.9999999999999993E-3</v>
      </c>
      <c r="M103" s="1">
        <v>3.8000000000000002E-4</v>
      </c>
      <c r="N103" s="1">
        <v>219.774</v>
      </c>
    </row>
    <row r="104" spans="1:14" ht="12.75" customHeight="1">
      <c r="A104" s="1" t="s">
        <v>70</v>
      </c>
      <c r="B104" s="1" t="s">
        <v>160</v>
      </c>
      <c r="C104" s="1">
        <v>103</v>
      </c>
      <c r="D104" s="1" t="s">
        <v>161</v>
      </c>
      <c r="E104" s="1"/>
      <c r="F104" s="1"/>
      <c r="G104" s="1"/>
      <c r="H104" s="1">
        <v>3</v>
      </c>
      <c r="I104" s="1">
        <v>3024</v>
      </c>
      <c r="J104" s="1">
        <v>27.131</v>
      </c>
      <c r="K104" s="1">
        <v>1155</v>
      </c>
      <c r="L104" s="1">
        <v>0.01</v>
      </c>
      <c r="M104" s="1">
        <v>3.8470000000000003E-4</v>
      </c>
      <c r="N104" s="1">
        <v>235.11799999999999</v>
      </c>
    </row>
    <row r="105" spans="1:14" ht="12.75" customHeight="1">
      <c r="A105" s="1" t="s">
        <v>70</v>
      </c>
      <c r="B105" s="1" t="s">
        <v>162</v>
      </c>
      <c r="C105" s="1">
        <v>104</v>
      </c>
      <c r="D105" s="1" t="s">
        <v>161</v>
      </c>
      <c r="E105" s="1"/>
      <c r="F105" s="1"/>
      <c r="G105" s="1"/>
      <c r="H105" s="1">
        <v>3</v>
      </c>
      <c r="I105" s="1">
        <v>2814</v>
      </c>
      <c r="J105" s="1">
        <v>25.396999999999998</v>
      </c>
      <c r="K105" s="1">
        <v>1070</v>
      </c>
      <c r="L105" s="1">
        <v>8.9999999999999993E-3</v>
      </c>
      <c r="M105" s="1">
        <v>3.8499999999999998E-4</v>
      </c>
      <c r="N105" s="1">
        <v>235.82300000000001</v>
      </c>
    </row>
    <row r="106" spans="1:14" ht="12.75" customHeight="1">
      <c r="A106" s="1" t="s">
        <v>70</v>
      </c>
      <c r="B106" s="1" t="s">
        <v>163</v>
      </c>
      <c r="C106" s="1">
        <v>105</v>
      </c>
      <c r="D106" s="1" t="s">
        <v>164</v>
      </c>
      <c r="E106" s="1"/>
      <c r="F106" s="1"/>
      <c r="G106" s="1"/>
      <c r="H106" s="1">
        <v>3</v>
      </c>
      <c r="I106" s="1">
        <v>2854</v>
      </c>
      <c r="J106" s="1">
        <v>25.777000000000001</v>
      </c>
      <c r="K106" s="1">
        <v>1089</v>
      </c>
      <c r="L106" s="1">
        <v>8.9999999999999993E-3</v>
      </c>
      <c r="M106" s="1">
        <v>3.857E-4</v>
      </c>
      <c r="N106" s="1">
        <v>238.048</v>
      </c>
    </row>
    <row r="107" spans="1:14" ht="12.75" customHeight="1">
      <c r="A107" s="1" t="s">
        <v>70</v>
      </c>
      <c r="B107" s="1" t="s">
        <v>165</v>
      </c>
      <c r="C107" s="1">
        <v>106</v>
      </c>
      <c r="D107" s="1" t="s">
        <v>164</v>
      </c>
      <c r="E107" s="1"/>
      <c r="F107" s="1"/>
      <c r="G107" s="1"/>
      <c r="H107" s="1">
        <v>3</v>
      </c>
      <c r="I107" s="1">
        <v>2837</v>
      </c>
      <c r="J107" s="1">
        <v>25.706</v>
      </c>
      <c r="K107" s="1">
        <v>1082</v>
      </c>
      <c r="L107" s="1">
        <v>8.9999999999999993E-3</v>
      </c>
      <c r="M107" s="1">
        <v>3.8519999999999998E-4</v>
      </c>
      <c r="N107" s="1">
        <v>236.572</v>
      </c>
    </row>
    <row r="108" spans="1:14" ht="12.75" customHeight="1">
      <c r="A108" s="1" t="s">
        <v>70</v>
      </c>
      <c r="B108" s="1" t="s">
        <v>166</v>
      </c>
      <c r="C108" s="1">
        <v>107</v>
      </c>
      <c r="D108" s="1" t="s">
        <v>20</v>
      </c>
      <c r="E108" s="1"/>
      <c r="F108" s="1"/>
      <c r="G108" s="1"/>
      <c r="H108" s="1">
        <v>3</v>
      </c>
      <c r="I108" s="1">
        <v>2831</v>
      </c>
      <c r="J108" s="1">
        <v>25.344999999999999</v>
      </c>
      <c r="K108" s="1">
        <v>1055</v>
      </c>
      <c r="L108" s="1">
        <v>8.9999999999999993E-3</v>
      </c>
      <c r="M108" s="1">
        <v>3.7609999999999998E-4</v>
      </c>
      <c r="N108" s="1">
        <v>207.42500000000001</v>
      </c>
    </row>
    <row r="109" spans="1:14" ht="12.75" customHeight="1">
      <c r="A109" s="1" t="s">
        <v>70</v>
      </c>
      <c r="B109" s="1" t="s">
        <v>167</v>
      </c>
      <c r="C109" s="1">
        <v>108</v>
      </c>
      <c r="D109" s="1" t="s">
        <v>20</v>
      </c>
      <c r="E109" s="1"/>
      <c r="F109" s="1"/>
      <c r="G109" s="1"/>
      <c r="H109" s="1">
        <v>3</v>
      </c>
      <c r="I109" s="1">
        <v>2812</v>
      </c>
      <c r="J109" s="1">
        <v>25.36</v>
      </c>
      <c r="K109" s="1">
        <v>1047</v>
      </c>
      <c r="L109" s="1">
        <v>8.9999999999999993E-3</v>
      </c>
      <c r="M109" s="1">
        <v>3.7629999999999999E-4</v>
      </c>
      <c r="N109" s="1">
        <v>207.91</v>
      </c>
    </row>
    <row r="110" spans="1:14" ht="12.75" customHeight="1">
      <c r="A110" s="1" t="s">
        <v>70</v>
      </c>
      <c r="B110" s="1" t="s">
        <v>168</v>
      </c>
      <c r="C110" s="1">
        <v>109</v>
      </c>
      <c r="D110" s="1" t="s">
        <v>169</v>
      </c>
      <c r="E110" s="1"/>
      <c r="F110" s="1"/>
      <c r="G110" s="1"/>
      <c r="H110" s="1">
        <v>3</v>
      </c>
      <c r="I110" s="1">
        <v>2779</v>
      </c>
      <c r="J110" s="1">
        <v>25.361999999999998</v>
      </c>
      <c r="K110" s="1">
        <v>1058</v>
      </c>
      <c r="L110" s="1">
        <v>8.9999999999999993E-3</v>
      </c>
      <c r="M110" s="1">
        <v>3.8529999999999999E-4</v>
      </c>
      <c r="N110" s="1">
        <v>236.88499999999999</v>
      </c>
    </row>
    <row r="111" spans="1:14" ht="12.75" customHeight="1">
      <c r="A111" s="1" t="s">
        <v>70</v>
      </c>
      <c r="B111" s="1" t="s">
        <v>170</v>
      </c>
      <c r="C111" s="1">
        <v>110</v>
      </c>
      <c r="D111" s="1" t="s">
        <v>169</v>
      </c>
      <c r="E111" s="1"/>
      <c r="F111" s="1"/>
      <c r="G111" s="1"/>
      <c r="H111" s="1">
        <v>3</v>
      </c>
      <c r="I111" s="1">
        <v>2871</v>
      </c>
      <c r="J111" s="1">
        <v>26.145</v>
      </c>
      <c r="K111" s="1">
        <v>1095</v>
      </c>
      <c r="L111" s="1">
        <v>8.9999999999999993E-3</v>
      </c>
      <c r="M111" s="1">
        <v>3.8519999999999998E-4</v>
      </c>
      <c r="N111" s="1">
        <v>236.7</v>
      </c>
    </row>
    <row r="112" spans="1:14" ht="12.75" customHeight="1">
      <c r="A112" s="1" t="s">
        <v>70</v>
      </c>
      <c r="B112" s="1" t="s">
        <v>171</v>
      </c>
      <c r="C112" s="1">
        <v>111</v>
      </c>
      <c r="D112" s="1" t="s">
        <v>172</v>
      </c>
      <c r="E112" s="1"/>
      <c r="F112" s="1"/>
      <c r="G112" s="1"/>
      <c r="H112" s="1">
        <v>3</v>
      </c>
      <c r="I112" s="1">
        <v>2784</v>
      </c>
      <c r="J112" s="1">
        <v>25.167999999999999</v>
      </c>
      <c r="K112" s="1">
        <v>1070</v>
      </c>
      <c r="L112" s="1">
        <v>8.9999999999999993E-3</v>
      </c>
      <c r="M112" s="1">
        <v>3.8850000000000001E-4</v>
      </c>
      <c r="N112" s="1">
        <v>247.17599999999999</v>
      </c>
    </row>
    <row r="113" spans="1:14" ht="12.75" customHeight="1">
      <c r="A113" s="1" t="s">
        <v>70</v>
      </c>
      <c r="B113" s="1" t="s">
        <v>173</v>
      </c>
      <c r="C113" s="1">
        <v>112</v>
      </c>
      <c r="D113" s="1" t="s">
        <v>172</v>
      </c>
      <c r="E113" s="1"/>
      <c r="F113" s="1"/>
      <c r="G113" s="1"/>
      <c r="H113" s="1">
        <v>3</v>
      </c>
      <c r="I113" s="1">
        <v>2773</v>
      </c>
      <c r="J113" s="1">
        <v>25.187000000000001</v>
      </c>
      <c r="K113" s="1">
        <v>1064</v>
      </c>
      <c r="L113" s="1">
        <v>8.9999999999999993E-3</v>
      </c>
      <c r="M113" s="1">
        <v>3.8749999999999999E-4</v>
      </c>
      <c r="N113" s="1">
        <v>243.928</v>
      </c>
    </row>
    <row r="114" spans="1:14" ht="12.75" customHeight="1">
      <c r="A114" s="1" t="s">
        <v>70</v>
      </c>
      <c r="B114" s="1" t="s">
        <v>174</v>
      </c>
      <c r="C114" s="1">
        <v>113</v>
      </c>
      <c r="D114" s="1" t="s">
        <v>175</v>
      </c>
      <c r="E114" s="1"/>
      <c r="F114" s="1"/>
      <c r="G114" s="1"/>
      <c r="H114" s="1">
        <v>3</v>
      </c>
      <c r="I114" s="1">
        <v>2767</v>
      </c>
      <c r="J114" s="1">
        <v>25.352</v>
      </c>
      <c r="K114" s="1">
        <v>1067</v>
      </c>
      <c r="L114" s="1">
        <v>8.9999999999999993E-3</v>
      </c>
      <c r="M114" s="1">
        <v>3.8999999999999999E-4</v>
      </c>
      <c r="N114" s="1">
        <v>252.00899999999999</v>
      </c>
    </row>
    <row r="115" spans="1:14" ht="12.75" customHeight="1">
      <c r="A115" s="1" t="s">
        <v>70</v>
      </c>
      <c r="B115" s="1" t="s">
        <v>176</v>
      </c>
      <c r="C115" s="1">
        <v>114</v>
      </c>
      <c r="D115" s="1" t="s">
        <v>175</v>
      </c>
      <c r="E115" s="1"/>
      <c r="F115" s="1"/>
      <c r="G115" s="1"/>
      <c r="H115" s="1">
        <v>3</v>
      </c>
      <c r="I115" s="1">
        <v>2818</v>
      </c>
      <c r="J115" s="1">
        <v>25.407</v>
      </c>
      <c r="K115" s="1">
        <v>1087</v>
      </c>
      <c r="L115" s="1">
        <v>8.9999999999999993E-3</v>
      </c>
      <c r="M115" s="1">
        <v>3.8890000000000002E-4</v>
      </c>
      <c r="N115" s="1">
        <v>254.524</v>
      </c>
    </row>
    <row r="116" spans="1:14" ht="12.75" customHeight="1">
      <c r="A116" s="1" t="s">
        <v>70</v>
      </c>
      <c r="B116" s="1" t="s">
        <v>177</v>
      </c>
      <c r="C116" s="1">
        <v>115</v>
      </c>
      <c r="D116" s="1" t="s">
        <v>16</v>
      </c>
      <c r="E116" s="1"/>
      <c r="F116" s="1"/>
      <c r="G116" s="1"/>
      <c r="H116" s="1">
        <v>3</v>
      </c>
      <c r="I116" s="1">
        <v>2718</v>
      </c>
      <c r="J116" s="1">
        <v>24.733000000000001</v>
      </c>
      <c r="K116" s="1">
        <v>1050</v>
      </c>
      <c r="L116" s="1">
        <v>8.9999999999999993E-3</v>
      </c>
      <c r="M116" s="1">
        <v>3.9130000000000002E-4</v>
      </c>
      <c r="N116" s="1">
        <v>256.24700000000001</v>
      </c>
    </row>
    <row r="117" spans="1:14" ht="12.75" customHeight="1">
      <c r="A117" s="1" t="s">
        <v>70</v>
      </c>
      <c r="B117" s="1" t="s">
        <v>178</v>
      </c>
      <c r="C117" s="1">
        <v>116</v>
      </c>
      <c r="D117" s="1" t="s">
        <v>16</v>
      </c>
      <c r="E117" s="1"/>
      <c r="F117" s="1"/>
      <c r="G117" s="1"/>
      <c r="H117" s="1">
        <v>3</v>
      </c>
      <c r="I117" s="1">
        <v>2726</v>
      </c>
      <c r="J117" s="1">
        <v>24.844000000000001</v>
      </c>
      <c r="K117" s="1">
        <v>1052</v>
      </c>
      <c r="L117" s="1">
        <v>8.9999999999999993E-3</v>
      </c>
      <c r="M117" s="1">
        <v>3.9120000000000002E-4</v>
      </c>
      <c r="N117" s="1">
        <v>255.91499999999999</v>
      </c>
    </row>
    <row r="118" spans="1:14" ht="12.75" customHeight="1">
      <c r="A118" s="1" t="s">
        <v>70</v>
      </c>
      <c r="B118" s="1" t="s">
        <v>179</v>
      </c>
      <c r="C118" s="1">
        <v>117</v>
      </c>
      <c r="D118" s="1" t="s">
        <v>16</v>
      </c>
      <c r="E118" s="1"/>
      <c r="F118" s="1"/>
      <c r="G118" s="1"/>
      <c r="H118" s="1">
        <v>3</v>
      </c>
      <c r="I118" s="1">
        <v>2778</v>
      </c>
      <c r="J118" s="1">
        <v>25.497</v>
      </c>
      <c r="K118" s="1">
        <v>1074</v>
      </c>
      <c r="L118" s="1">
        <v>8.9999999999999993E-3</v>
      </c>
      <c r="M118" s="1">
        <v>3.9219999999999999E-4</v>
      </c>
      <c r="N118" s="1">
        <v>259.02499999999998</v>
      </c>
    </row>
    <row r="119" spans="1:14" ht="12.75" customHeight="1">
      <c r="A119" s="1" t="s">
        <v>70</v>
      </c>
      <c r="B119" s="1" t="s">
        <v>180</v>
      </c>
      <c r="C119" s="1">
        <v>118</v>
      </c>
      <c r="D119" s="1" t="s">
        <v>20</v>
      </c>
      <c r="E119" s="1"/>
      <c r="F119" s="1"/>
      <c r="G119" s="1"/>
      <c r="H119" s="1">
        <v>3</v>
      </c>
      <c r="I119" s="1">
        <v>2793</v>
      </c>
      <c r="J119" s="1">
        <v>25.39</v>
      </c>
      <c r="K119" s="1">
        <v>1041</v>
      </c>
      <c r="L119" s="1">
        <v>8.9999999999999993E-3</v>
      </c>
      <c r="M119" s="1">
        <v>3.7599999999999998E-4</v>
      </c>
      <c r="N119" s="1">
        <v>207.12299999999999</v>
      </c>
    </row>
    <row r="120" spans="1:14" ht="12.75" customHeight="1">
      <c r="A120" s="1" t="s">
        <v>70</v>
      </c>
      <c r="B120" s="1" t="s">
        <v>181</v>
      </c>
      <c r="C120" s="1">
        <v>119</v>
      </c>
      <c r="D120" s="1" t="s">
        <v>20</v>
      </c>
      <c r="E120" s="1"/>
      <c r="F120" s="1"/>
      <c r="G120" s="1"/>
      <c r="H120" s="1">
        <v>3</v>
      </c>
      <c r="I120" s="1">
        <v>2769</v>
      </c>
      <c r="J120" s="1">
        <v>25.129000000000001</v>
      </c>
      <c r="K120" s="1">
        <v>1032</v>
      </c>
      <c r="L120" s="1">
        <v>8.9999999999999993E-3</v>
      </c>
      <c r="M120" s="1">
        <v>3.7750000000000001E-4</v>
      </c>
      <c r="N120" s="1">
        <v>211.84700000000001</v>
      </c>
    </row>
    <row r="121" spans="1:14" ht="12.75" customHeight="1">
      <c r="A121" s="1" t="s">
        <v>70</v>
      </c>
      <c r="B121" s="1" t="s">
        <v>182</v>
      </c>
      <c r="C121" s="1">
        <v>120</v>
      </c>
      <c r="D121" s="1" t="s">
        <v>20</v>
      </c>
      <c r="E121" s="1"/>
      <c r="F121" s="1"/>
      <c r="G121" s="1"/>
      <c r="H121" s="1">
        <v>3</v>
      </c>
      <c r="I121" s="1">
        <v>2729</v>
      </c>
      <c r="J121" s="1">
        <v>24.879000000000001</v>
      </c>
      <c r="K121" s="1">
        <v>1015</v>
      </c>
      <c r="L121" s="1">
        <v>8.9999999999999993E-3</v>
      </c>
      <c r="M121" s="1">
        <v>3.7550000000000002E-4</v>
      </c>
      <c r="N121" s="1">
        <v>205.52600000000001</v>
      </c>
    </row>
    <row r="122" spans="1:14" ht="12.75" customHeight="1">
      <c r="A122" s="1" t="s">
        <v>70</v>
      </c>
      <c r="B122" s="1" t="s">
        <v>183</v>
      </c>
      <c r="C122" s="1">
        <v>121</v>
      </c>
      <c r="D122" s="1" t="s">
        <v>24</v>
      </c>
      <c r="E122" s="1"/>
      <c r="F122" s="1"/>
      <c r="G122" s="1"/>
      <c r="H122" s="1">
        <v>3</v>
      </c>
      <c r="I122" s="1">
        <v>2786</v>
      </c>
      <c r="J122" s="1">
        <v>25.381</v>
      </c>
      <c r="K122" s="1">
        <v>1004</v>
      </c>
      <c r="L122" s="1">
        <v>8.0000000000000002E-3</v>
      </c>
      <c r="M122" s="1">
        <v>3.6380000000000001E-4</v>
      </c>
      <c r="N122" s="1">
        <v>167.74100000000001</v>
      </c>
    </row>
    <row r="123" spans="1:14" ht="12.75" customHeight="1">
      <c r="A123" s="1" t="s">
        <v>70</v>
      </c>
      <c r="B123" s="1" t="s">
        <v>184</v>
      </c>
      <c r="C123" s="1">
        <v>122</v>
      </c>
      <c r="D123" s="1" t="s">
        <v>24</v>
      </c>
      <c r="E123" s="1"/>
      <c r="F123" s="1"/>
      <c r="G123" s="1"/>
      <c r="H123" s="1">
        <v>3</v>
      </c>
      <c r="I123" s="1">
        <v>2725</v>
      </c>
      <c r="J123" s="1">
        <v>24.742000000000001</v>
      </c>
      <c r="K123" s="1">
        <v>981</v>
      </c>
      <c r="L123" s="1">
        <v>8.0000000000000002E-3</v>
      </c>
      <c r="M123" s="1">
        <v>3.6299999999999999E-4</v>
      </c>
      <c r="N123" s="1">
        <v>165.31</v>
      </c>
    </row>
    <row r="124" spans="1:14" ht="12.75" customHeight="1">
      <c r="A124" s="1" t="s">
        <v>70</v>
      </c>
      <c r="B124" s="1" t="s">
        <v>185</v>
      </c>
      <c r="C124" s="1">
        <v>123</v>
      </c>
      <c r="D124" s="1" t="s">
        <v>24</v>
      </c>
      <c r="E124" s="1"/>
      <c r="F124" s="1"/>
      <c r="G124" s="1"/>
      <c r="H124" s="1">
        <v>3</v>
      </c>
      <c r="I124" s="1">
        <v>2739</v>
      </c>
      <c r="J124" s="1">
        <v>24.966000000000001</v>
      </c>
      <c r="K124" s="1">
        <v>986</v>
      </c>
      <c r="L124" s="1">
        <v>8.0000000000000002E-3</v>
      </c>
      <c r="M124" s="1">
        <v>3.6299999999999999E-4</v>
      </c>
      <c r="N124" s="1">
        <v>165.476</v>
      </c>
    </row>
    <row r="125" spans="1:14" ht="12.75" customHeight="1">
      <c r="A125" s="1" t="s">
        <v>70</v>
      </c>
      <c r="B125" s="1" t="s">
        <v>186</v>
      </c>
      <c r="C125" s="1">
        <v>124</v>
      </c>
      <c r="D125" s="1" t="s">
        <v>28</v>
      </c>
      <c r="E125" s="1"/>
      <c r="F125" s="1"/>
      <c r="G125" s="1"/>
      <c r="H125" s="1">
        <v>3</v>
      </c>
      <c r="I125" s="1">
        <v>2732</v>
      </c>
      <c r="J125" s="1">
        <v>24.815999999999999</v>
      </c>
      <c r="K125" s="1">
        <v>964</v>
      </c>
      <c r="L125" s="1">
        <v>8.0000000000000002E-3</v>
      </c>
      <c r="M125" s="1">
        <v>3.5490000000000001E-4</v>
      </c>
      <c r="N125" s="1">
        <v>139.352</v>
      </c>
    </row>
    <row r="126" spans="1:14" ht="12.75" customHeight="1">
      <c r="A126" s="1" t="s">
        <v>70</v>
      </c>
      <c r="B126" s="1" t="s">
        <v>187</v>
      </c>
      <c r="C126" s="1">
        <v>125</v>
      </c>
      <c r="D126" s="1" t="s">
        <v>28</v>
      </c>
      <c r="E126" s="1"/>
      <c r="F126" s="1"/>
      <c r="G126" s="1"/>
      <c r="H126" s="1">
        <v>3</v>
      </c>
      <c r="I126" s="1">
        <v>2787</v>
      </c>
      <c r="J126" s="1">
        <v>25.276</v>
      </c>
      <c r="K126" s="1">
        <v>982</v>
      </c>
      <c r="L126" s="1">
        <v>8.0000000000000002E-3</v>
      </c>
      <c r="M126" s="1">
        <v>3.546E-4</v>
      </c>
      <c r="N126" s="1">
        <v>138.31399999999999</v>
      </c>
    </row>
    <row r="127" spans="1:14" ht="12.75" customHeight="1">
      <c r="A127" s="1" t="s">
        <v>70</v>
      </c>
      <c r="B127" s="1" t="s">
        <v>188</v>
      </c>
      <c r="C127" s="1">
        <v>126</v>
      </c>
      <c r="D127" s="1" t="s">
        <v>28</v>
      </c>
      <c r="E127" s="1"/>
      <c r="F127" s="1"/>
      <c r="G127" s="1"/>
      <c r="H127" s="1">
        <v>3</v>
      </c>
      <c r="I127" s="1">
        <v>2747</v>
      </c>
      <c r="J127" s="1">
        <v>24.853999999999999</v>
      </c>
      <c r="K127" s="1">
        <v>968</v>
      </c>
      <c r="L127" s="1">
        <v>8.0000000000000002E-3</v>
      </c>
      <c r="M127" s="1">
        <v>3.5490000000000001E-4</v>
      </c>
      <c r="N127" s="1">
        <v>139.26599999999999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5"/>
  <sheetViews>
    <sheetView topLeftCell="A94" workbookViewId="0">
      <selection activeCell="P136" sqref="P136"/>
    </sheetView>
  </sheetViews>
  <sheetFormatPr defaultRowHeight="12.75" customHeight="1"/>
  <cols>
    <col min="1" max="1" width="8.140625" bestFit="1" customWidth="1"/>
    <col min="2" max="2" width="7.85546875" bestFit="1" customWidth="1"/>
    <col min="3" max="3" width="4.85546875" bestFit="1" customWidth="1"/>
    <col min="4" max="4" width="12.42578125" bestFit="1" customWidth="1"/>
    <col min="5" max="5" width="9.5703125" bestFit="1" customWidth="1"/>
    <col min="6" max="6" width="7.42578125" bestFit="1" customWidth="1"/>
    <col min="8" max="8" width="8" bestFit="1" customWidth="1"/>
    <col min="9" max="9" width="7.28515625" bestFit="1" customWidth="1"/>
    <col min="10" max="10" width="7" bestFit="1" customWidth="1"/>
    <col min="11" max="11" width="7.28515625" bestFit="1" customWidth="1"/>
    <col min="12" max="12" width="6.5703125" bestFit="1" customWidth="1"/>
    <col min="13" max="13" width="10.28515625" bestFit="1" customWidth="1"/>
    <col min="14" max="14" width="10" bestFit="1" customWidth="1"/>
  </cols>
  <sheetData>
    <row r="1" spans="1:16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 spans="1:16" ht="12.75" customHeight="1">
      <c r="A2" s="1" t="s">
        <v>14</v>
      </c>
      <c r="B2" s="1" t="s">
        <v>15</v>
      </c>
      <c r="C2" s="1">
        <v>1</v>
      </c>
      <c r="D2" s="1" t="s">
        <v>16</v>
      </c>
      <c r="E2" s="1"/>
      <c r="F2" s="1"/>
      <c r="G2" s="1"/>
      <c r="H2" s="1">
        <v>4</v>
      </c>
      <c r="I2" s="1">
        <v>4895</v>
      </c>
      <c r="J2" s="1">
        <v>5460</v>
      </c>
      <c r="K2" s="1">
        <v>3337</v>
      </c>
      <c r="L2" s="1">
        <v>54.405000000000001</v>
      </c>
      <c r="M2" s="1">
        <v>0.61099999999999999</v>
      </c>
      <c r="N2" s="1">
        <v>0.112</v>
      </c>
      <c r="O2" s="1">
        <v>2.0092E-3</v>
      </c>
      <c r="P2" s="1">
        <v>1.974</v>
      </c>
    </row>
    <row r="3" spans="1:16" ht="12.75" customHeight="1">
      <c r="A3" s="1" t="s">
        <v>14</v>
      </c>
      <c r="B3" s="1" t="s">
        <v>17</v>
      </c>
      <c r="C3" s="1">
        <v>2</v>
      </c>
      <c r="D3" s="1" t="s">
        <v>16</v>
      </c>
      <c r="E3" s="1"/>
      <c r="F3" s="1"/>
      <c r="G3" s="1"/>
      <c r="H3" s="1">
        <v>4</v>
      </c>
      <c r="I3" s="1">
        <v>4923</v>
      </c>
      <c r="J3" s="1">
        <v>5492</v>
      </c>
      <c r="K3" s="1">
        <v>3356</v>
      </c>
      <c r="L3" s="1">
        <v>54.344999999999999</v>
      </c>
      <c r="M3" s="1">
        <v>0.61099999999999999</v>
      </c>
      <c r="N3" s="1">
        <v>0.112</v>
      </c>
      <c r="O3" s="1">
        <v>2.0092E-3</v>
      </c>
      <c r="P3" s="1">
        <v>2</v>
      </c>
    </row>
    <row r="4" spans="1:16" ht="12.75" customHeight="1">
      <c r="A4" s="1" t="s">
        <v>14</v>
      </c>
      <c r="B4" s="1" t="s">
        <v>18</v>
      </c>
      <c r="C4" s="1">
        <v>3</v>
      </c>
      <c r="D4" s="1" t="s">
        <v>16</v>
      </c>
      <c r="E4" s="1"/>
      <c r="F4" s="1"/>
      <c r="G4" s="1"/>
      <c r="H4" s="1">
        <v>4</v>
      </c>
      <c r="I4" s="1">
        <v>4925</v>
      </c>
      <c r="J4" s="1">
        <v>5492</v>
      </c>
      <c r="K4" s="1">
        <v>3357</v>
      </c>
      <c r="L4" s="1">
        <v>54.317999999999998</v>
      </c>
      <c r="M4" s="1">
        <v>0.61</v>
      </c>
      <c r="N4" s="1">
        <v>0.112</v>
      </c>
      <c r="O4" s="1">
        <v>2.0089999999999999E-3</v>
      </c>
      <c r="P4" s="1">
        <v>1.909</v>
      </c>
    </row>
    <row r="5" spans="1:16" ht="12.75" customHeight="1">
      <c r="A5" s="1" t="s">
        <v>14</v>
      </c>
      <c r="B5" s="1" t="s">
        <v>19</v>
      </c>
      <c r="C5" s="1">
        <v>4</v>
      </c>
      <c r="D5" s="1" t="s">
        <v>20</v>
      </c>
      <c r="E5" s="1"/>
      <c r="F5" s="1"/>
      <c r="G5" s="1"/>
      <c r="H5" s="1">
        <v>4</v>
      </c>
      <c r="I5" s="1">
        <v>4941</v>
      </c>
      <c r="J5" s="1">
        <v>5510</v>
      </c>
      <c r="K5" s="1">
        <v>3346</v>
      </c>
      <c r="L5" s="1">
        <v>53.988</v>
      </c>
      <c r="M5" s="1">
        <v>0.60699999999999998</v>
      </c>
      <c r="N5" s="1">
        <v>0.11</v>
      </c>
      <c r="O5" s="1">
        <v>1.9959000000000001E-3</v>
      </c>
      <c r="P5" s="1">
        <v>-4.6500000000000004</v>
      </c>
    </row>
    <row r="6" spans="1:16" ht="12.75" customHeight="1">
      <c r="A6" s="1" t="s">
        <v>14</v>
      </c>
      <c r="B6" s="1" t="s">
        <v>21</v>
      </c>
      <c r="C6" s="1">
        <v>5</v>
      </c>
      <c r="D6" s="1" t="s">
        <v>20</v>
      </c>
      <c r="E6" s="1"/>
      <c r="F6" s="1"/>
      <c r="G6" s="1"/>
      <c r="H6" s="1">
        <v>4</v>
      </c>
      <c r="I6" s="1">
        <v>5059</v>
      </c>
      <c r="J6" s="1">
        <v>5642</v>
      </c>
      <c r="K6" s="1">
        <v>3427</v>
      </c>
      <c r="L6" s="1">
        <v>56.290999999999997</v>
      </c>
      <c r="M6" s="1">
        <v>0.63300000000000001</v>
      </c>
      <c r="N6" s="1">
        <v>0.115</v>
      </c>
      <c r="O6" s="1">
        <v>1.9962999999999999E-3</v>
      </c>
      <c r="P6" s="1">
        <v>-4.4560000000000004</v>
      </c>
    </row>
    <row r="7" spans="1:16" ht="12.75" customHeight="1">
      <c r="A7" s="1" t="s">
        <v>14</v>
      </c>
      <c r="B7" s="1" t="s">
        <v>22</v>
      </c>
      <c r="C7" s="1">
        <v>6</v>
      </c>
      <c r="D7" s="1" t="s">
        <v>20</v>
      </c>
      <c r="E7" s="1"/>
      <c r="F7" s="1"/>
      <c r="G7" s="1"/>
      <c r="H7" s="1">
        <v>4</v>
      </c>
      <c r="I7" s="1">
        <v>5124</v>
      </c>
      <c r="J7" s="1">
        <v>5713</v>
      </c>
      <c r="K7" s="1">
        <v>3469</v>
      </c>
      <c r="L7" s="1">
        <v>56.683</v>
      </c>
      <c r="M7" s="1">
        <v>0.63700000000000001</v>
      </c>
      <c r="N7" s="1">
        <v>0.11600000000000001</v>
      </c>
      <c r="O7" s="1">
        <v>1.9959999999999999E-3</v>
      </c>
      <c r="P7" s="1">
        <v>-4.593</v>
      </c>
    </row>
    <row r="8" spans="1:16" ht="12.75" customHeight="1">
      <c r="A8" s="1" t="s">
        <v>14</v>
      </c>
      <c r="B8" s="1" t="s">
        <v>23</v>
      </c>
      <c r="C8" s="1">
        <v>7</v>
      </c>
      <c r="D8" s="1" t="s">
        <v>24</v>
      </c>
      <c r="E8" s="1"/>
      <c r="F8" s="1"/>
      <c r="G8" s="1"/>
      <c r="H8" s="1">
        <v>4</v>
      </c>
      <c r="I8" s="1">
        <v>5051</v>
      </c>
      <c r="J8" s="1">
        <v>5632</v>
      </c>
      <c r="K8" s="1">
        <v>3402</v>
      </c>
      <c r="L8" s="1">
        <v>56.220999999999997</v>
      </c>
      <c r="M8" s="1">
        <v>0.63200000000000001</v>
      </c>
      <c r="N8" s="1">
        <v>0.114</v>
      </c>
      <c r="O8" s="1">
        <v>1.9848999999999999E-3</v>
      </c>
      <c r="P8" s="1">
        <v>-10.119</v>
      </c>
    </row>
    <row r="9" spans="1:16" ht="12.75" customHeight="1">
      <c r="A9" s="1" t="s">
        <v>14</v>
      </c>
      <c r="B9" s="1" t="s">
        <v>25</v>
      </c>
      <c r="C9" s="1">
        <v>8</v>
      </c>
      <c r="D9" s="1" t="s">
        <v>24</v>
      </c>
      <c r="E9" s="1"/>
      <c r="F9" s="1"/>
      <c r="G9" s="1"/>
      <c r="H9" s="1">
        <v>4</v>
      </c>
      <c r="I9" s="1">
        <v>4999</v>
      </c>
      <c r="J9" s="1">
        <v>5574</v>
      </c>
      <c r="K9" s="1">
        <v>3365</v>
      </c>
      <c r="L9" s="1">
        <v>55.573999999999998</v>
      </c>
      <c r="M9" s="1">
        <v>0.624</v>
      </c>
      <c r="N9" s="1">
        <v>0.113</v>
      </c>
      <c r="O9" s="1">
        <v>1.9845000000000002E-3</v>
      </c>
      <c r="P9" s="1">
        <v>-10.317</v>
      </c>
    </row>
    <row r="10" spans="1:16" ht="12.75" customHeight="1">
      <c r="A10" s="1" t="s">
        <v>14</v>
      </c>
      <c r="B10" s="1" t="s">
        <v>26</v>
      </c>
      <c r="C10" s="1">
        <v>9</v>
      </c>
      <c r="D10" s="1" t="s">
        <v>24</v>
      </c>
      <c r="E10" s="1"/>
      <c r="F10" s="1"/>
      <c r="G10" s="1"/>
      <c r="H10" s="1">
        <v>4</v>
      </c>
      <c r="I10" s="1">
        <v>4926</v>
      </c>
      <c r="J10" s="1">
        <v>5494</v>
      </c>
      <c r="K10" s="1">
        <v>3316</v>
      </c>
      <c r="L10" s="1">
        <v>54.508000000000003</v>
      </c>
      <c r="M10" s="1">
        <v>0.61199999999999999</v>
      </c>
      <c r="N10" s="1">
        <v>0.111</v>
      </c>
      <c r="O10" s="1">
        <v>1.9843999999999999E-3</v>
      </c>
      <c r="P10" s="1">
        <v>-10.349</v>
      </c>
    </row>
    <row r="11" spans="1:16" ht="12.75" customHeight="1">
      <c r="A11" s="1" t="s">
        <v>14</v>
      </c>
      <c r="B11" s="1" t="s">
        <v>27</v>
      </c>
      <c r="C11" s="1">
        <v>10</v>
      </c>
      <c r="D11" s="1" t="s">
        <v>28</v>
      </c>
      <c r="E11" s="1"/>
      <c r="F11" s="1"/>
      <c r="G11" s="1"/>
      <c r="H11" s="1">
        <v>4</v>
      </c>
      <c r="I11" s="1">
        <v>4953</v>
      </c>
      <c r="J11" s="1">
        <v>5523</v>
      </c>
      <c r="K11" s="1">
        <v>3331</v>
      </c>
      <c r="L11" s="1">
        <v>55.405999999999999</v>
      </c>
      <c r="M11" s="1">
        <v>0.623</v>
      </c>
      <c r="N11" s="1">
        <v>0.112</v>
      </c>
      <c r="O11" s="1">
        <v>1.9829000000000001E-3</v>
      </c>
      <c r="P11" s="1">
        <v>-11.12</v>
      </c>
    </row>
    <row r="12" spans="1:16" ht="12.75" customHeight="1">
      <c r="A12" s="1" t="s">
        <v>14</v>
      </c>
      <c r="B12" s="1" t="s">
        <v>29</v>
      </c>
      <c r="C12" s="1">
        <v>11</v>
      </c>
      <c r="D12" s="1" t="s">
        <v>28</v>
      </c>
      <c r="E12" s="1"/>
      <c r="F12" s="1"/>
      <c r="G12" s="1"/>
      <c r="H12" s="1">
        <v>4</v>
      </c>
      <c r="I12" s="1">
        <v>5076</v>
      </c>
      <c r="J12" s="1">
        <v>5660</v>
      </c>
      <c r="K12" s="1">
        <v>3412</v>
      </c>
      <c r="L12" s="1">
        <v>56.697000000000003</v>
      </c>
      <c r="M12" s="1">
        <v>0.63700000000000001</v>
      </c>
      <c r="N12" s="1">
        <v>0.115</v>
      </c>
      <c r="O12" s="1">
        <v>1.9821000000000001E-3</v>
      </c>
      <c r="P12" s="1">
        <v>-11.542</v>
      </c>
    </row>
    <row r="13" spans="1:16" ht="12.75" customHeight="1">
      <c r="A13" s="1" t="s">
        <v>14</v>
      </c>
      <c r="B13" s="1" t="s">
        <v>30</v>
      </c>
      <c r="C13" s="1">
        <v>12</v>
      </c>
      <c r="D13" s="1" t="s">
        <v>28</v>
      </c>
      <c r="E13" s="1"/>
      <c r="F13" s="1"/>
      <c r="G13" s="1"/>
      <c r="H13" s="1">
        <v>4</v>
      </c>
      <c r="I13" s="1">
        <v>4934</v>
      </c>
      <c r="J13" s="1">
        <v>5501</v>
      </c>
      <c r="K13" s="1">
        <v>3318</v>
      </c>
      <c r="L13" s="1">
        <v>55.225000000000001</v>
      </c>
      <c r="M13" s="1">
        <v>0.62</v>
      </c>
      <c r="N13" s="1">
        <v>0.112</v>
      </c>
      <c r="O13" s="1">
        <v>1.9827E-3</v>
      </c>
      <c r="P13" s="1">
        <v>-11.24</v>
      </c>
    </row>
    <row r="14" spans="1:16" ht="12.75" customHeight="1">
      <c r="A14" s="1" t="s">
        <v>14</v>
      </c>
      <c r="B14" s="1" t="s">
        <v>31</v>
      </c>
      <c r="C14" s="1">
        <v>13</v>
      </c>
      <c r="D14" s="1" t="s">
        <v>32</v>
      </c>
      <c r="E14" s="1"/>
      <c r="F14" s="1"/>
      <c r="G14" s="1"/>
      <c r="H14" s="1">
        <v>4</v>
      </c>
      <c r="I14" s="1">
        <v>4917</v>
      </c>
      <c r="J14" s="1">
        <v>5483</v>
      </c>
      <c r="K14" s="1">
        <v>3303</v>
      </c>
      <c r="L14" s="1">
        <v>54.901000000000003</v>
      </c>
      <c r="M14" s="1">
        <v>0.61699999999999999</v>
      </c>
      <c r="N14" s="1">
        <v>0.111</v>
      </c>
      <c r="O14" s="1">
        <v>1.9794999999999999E-3</v>
      </c>
      <c r="P14" s="1">
        <v>-12.827999999999999</v>
      </c>
    </row>
    <row r="15" spans="1:16" ht="12.75" customHeight="1">
      <c r="A15" s="1" t="s">
        <v>14</v>
      </c>
      <c r="B15" s="1" t="s">
        <v>33</v>
      </c>
      <c r="C15" s="1">
        <v>14</v>
      </c>
      <c r="D15" s="1" t="s">
        <v>32</v>
      </c>
      <c r="E15" s="1"/>
      <c r="F15" s="1"/>
      <c r="G15" s="1"/>
      <c r="H15" s="1">
        <v>4</v>
      </c>
      <c r="I15" s="1">
        <v>4962</v>
      </c>
      <c r="J15" s="1">
        <v>5534</v>
      </c>
      <c r="K15" s="1">
        <v>3334</v>
      </c>
      <c r="L15" s="1">
        <v>55.55</v>
      </c>
      <c r="M15" s="1">
        <v>0.624</v>
      </c>
      <c r="N15" s="1">
        <v>0.113</v>
      </c>
      <c r="O15" s="1">
        <v>1.9794999999999999E-3</v>
      </c>
      <c r="P15" s="1">
        <v>-12.798999999999999</v>
      </c>
    </row>
    <row r="16" spans="1:16" ht="12.75" customHeight="1">
      <c r="A16" s="1" t="s">
        <v>14</v>
      </c>
      <c r="B16" s="1" t="s">
        <v>34</v>
      </c>
      <c r="C16" s="1">
        <v>15</v>
      </c>
      <c r="D16" s="1" t="s">
        <v>35</v>
      </c>
      <c r="E16" s="1"/>
      <c r="F16" s="1"/>
      <c r="G16" s="1"/>
      <c r="H16" s="1">
        <v>4</v>
      </c>
      <c r="I16" s="1">
        <v>5008</v>
      </c>
      <c r="J16" s="1">
        <v>5585</v>
      </c>
      <c r="K16" s="1">
        <v>3372</v>
      </c>
      <c r="L16" s="1">
        <v>55.988</v>
      </c>
      <c r="M16" s="1">
        <v>0.629</v>
      </c>
      <c r="N16" s="1">
        <v>0.114</v>
      </c>
      <c r="O16" s="1">
        <v>1.9837000000000001E-3</v>
      </c>
      <c r="P16" s="1">
        <v>-10.734</v>
      </c>
    </row>
    <row r="17" spans="1:16" ht="12.75" customHeight="1">
      <c r="A17" s="1" t="s">
        <v>14</v>
      </c>
      <c r="B17" s="1" t="s">
        <v>36</v>
      </c>
      <c r="C17" s="1">
        <v>16</v>
      </c>
      <c r="D17" s="1" t="s">
        <v>35</v>
      </c>
      <c r="E17" s="1"/>
      <c r="F17" s="1"/>
      <c r="G17" s="1"/>
      <c r="H17" s="1">
        <v>4</v>
      </c>
      <c r="I17" s="1">
        <v>4983</v>
      </c>
      <c r="J17" s="1">
        <v>5558</v>
      </c>
      <c r="K17" s="1">
        <v>3354</v>
      </c>
      <c r="L17" s="1">
        <v>55.899000000000001</v>
      </c>
      <c r="M17" s="1">
        <v>0.628</v>
      </c>
      <c r="N17" s="1">
        <v>0.114</v>
      </c>
      <c r="O17" s="1">
        <v>1.9835E-3</v>
      </c>
      <c r="P17" s="1">
        <v>-10.824999999999999</v>
      </c>
    </row>
    <row r="18" spans="1:16" ht="12.75" customHeight="1">
      <c r="A18" s="1" t="s">
        <v>14</v>
      </c>
      <c r="B18" s="1" t="s">
        <v>37</v>
      </c>
      <c r="C18" s="1">
        <v>17</v>
      </c>
      <c r="D18" s="1" t="s">
        <v>38</v>
      </c>
      <c r="E18" s="1"/>
      <c r="F18" s="1"/>
      <c r="G18" s="1"/>
      <c r="H18" s="1">
        <v>4</v>
      </c>
      <c r="I18" s="1">
        <v>5289</v>
      </c>
      <c r="J18" s="1">
        <v>5898</v>
      </c>
      <c r="K18" s="1">
        <v>3581</v>
      </c>
      <c r="L18" s="1">
        <v>59.161999999999999</v>
      </c>
      <c r="M18" s="1">
        <v>0.66500000000000004</v>
      </c>
      <c r="N18" s="1">
        <v>0.121</v>
      </c>
      <c r="O18" s="1">
        <v>1.9949999999999998E-3</v>
      </c>
      <c r="P18" s="1">
        <v>-5.093</v>
      </c>
    </row>
    <row r="19" spans="1:16" ht="12.75" customHeight="1">
      <c r="A19" s="1" t="s">
        <v>14</v>
      </c>
      <c r="B19" s="1" t="s">
        <v>39</v>
      </c>
      <c r="C19" s="1">
        <v>18</v>
      </c>
      <c r="D19" s="1" t="s">
        <v>38</v>
      </c>
      <c r="E19" s="1"/>
      <c r="F19" s="1"/>
      <c r="G19" s="1"/>
      <c r="H19" s="1">
        <v>4</v>
      </c>
      <c r="I19" s="1">
        <v>5224</v>
      </c>
      <c r="J19" s="1">
        <v>5826</v>
      </c>
      <c r="K19" s="1">
        <v>3538</v>
      </c>
      <c r="L19" s="1">
        <v>58.758000000000003</v>
      </c>
      <c r="M19" s="1">
        <v>0.66</v>
      </c>
      <c r="N19" s="1">
        <v>0.12</v>
      </c>
      <c r="O19" s="1">
        <v>1.9962000000000001E-3</v>
      </c>
      <c r="P19" s="1">
        <v>-4.4690000000000003</v>
      </c>
    </row>
    <row r="20" spans="1:16" ht="12.75" customHeight="1">
      <c r="A20" s="1" t="s">
        <v>14</v>
      </c>
      <c r="B20" s="1" t="s">
        <v>40</v>
      </c>
      <c r="C20" s="1">
        <v>19</v>
      </c>
      <c r="D20" s="1" t="s">
        <v>41</v>
      </c>
      <c r="E20" s="1"/>
      <c r="F20" s="1"/>
      <c r="G20" s="1"/>
      <c r="H20" s="1">
        <v>4</v>
      </c>
      <c r="I20" s="1">
        <v>4789</v>
      </c>
      <c r="J20" s="1">
        <v>5342</v>
      </c>
      <c r="K20" s="1">
        <v>3253</v>
      </c>
      <c r="L20" s="1">
        <v>53.723999999999997</v>
      </c>
      <c r="M20" s="1">
        <v>0.60399999999999998</v>
      </c>
      <c r="N20" s="1">
        <v>0.11</v>
      </c>
      <c r="O20" s="1">
        <v>2.0016000000000001E-3</v>
      </c>
      <c r="P20" s="1">
        <v>-1.7909999999999999</v>
      </c>
    </row>
    <row r="21" spans="1:16" ht="12.75" customHeight="1">
      <c r="A21" s="1" t="s">
        <v>14</v>
      </c>
      <c r="B21" s="1" t="s">
        <v>42</v>
      </c>
      <c r="C21" s="1">
        <v>20</v>
      </c>
      <c r="D21" s="1" t="s">
        <v>41</v>
      </c>
      <c r="E21" s="1"/>
      <c r="F21" s="1"/>
      <c r="G21" s="1"/>
      <c r="H21" s="1">
        <v>4</v>
      </c>
      <c r="I21" s="1">
        <v>5100</v>
      </c>
      <c r="J21" s="1">
        <v>5688</v>
      </c>
      <c r="K21" s="1">
        <v>3465</v>
      </c>
      <c r="L21" s="1">
        <v>57.389000000000003</v>
      </c>
      <c r="M21" s="1">
        <v>0.64500000000000002</v>
      </c>
      <c r="N21" s="1">
        <v>0.11799999999999999</v>
      </c>
      <c r="O21" s="1">
        <v>2.0016999999999999E-3</v>
      </c>
      <c r="P21" s="1">
        <v>-1.7669999999999999</v>
      </c>
    </row>
    <row r="22" spans="1:16" ht="12.75" customHeight="1">
      <c r="A22" s="1" t="s">
        <v>14</v>
      </c>
      <c r="B22" s="1" t="s">
        <v>43</v>
      </c>
      <c r="C22" s="1">
        <v>21</v>
      </c>
      <c r="D22" s="1" t="s">
        <v>44</v>
      </c>
      <c r="E22" s="1"/>
      <c r="F22" s="1"/>
      <c r="G22" s="1"/>
      <c r="H22" s="1">
        <v>4</v>
      </c>
      <c r="I22" s="1">
        <v>4902</v>
      </c>
      <c r="J22" s="1">
        <v>5468</v>
      </c>
      <c r="K22" s="1">
        <v>3316</v>
      </c>
      <c r="L22" s="1">
        <v>54.96</v>
      </c>
      <c r="M22" s="1">
        <v>0.61799999999999999</v>
      </c>
      <c r="N22" s="1">
        <v>0.112</v>
      </c>
      <c r="O22" s="1">
        <v>1.993E-3</v>
      </c>
      <c r="P22" s="1">
        <v>-6.0709999999999997</v>
      </c>
    </row>
    <row r="23" spans="1:16" ht="12.75" customHeight="1">
      <c r="A23" s="1" t="s">
        <v>14</v>
      </c>
      <c r="B23" s="1" t="s">
        <v>45</v>
      </c>
      <c r="C23" s="1">
        <v>22</v>
      </c>
      <c r="D23" s="1" t="s">
        <v>44</v>
      </c>
      <c r="E23" s="1"/>
      <c r="F23" s="1"/>
      <c r="G23" s="1"/>
      <c r="H23" s="1">
        <v>4</v>
      </c>
      <c r="I23" s="1">
        <v>4935</v>
      </c>
      <c r="J23" s="1">
        <v>5504</v>
      </c>
      <c r="K23" s="1">
        <v>3337</v>
      </c>
      <c r="L23" s="1">
        <v>54.981999999999999</v>
      </c>
      <c r="M23" s="1">
        <v>0.61799999999999999</v>
      </c>
      <c r="N23" s="1">
        <v>0.112</v>
      </c>
      <c r="O23" s="1">
        <v>1.9927E-3</v>
      </c>
      <c r="P23" s="1">
        <v>-6.21</v>
      </c>
    </row>
    <row r="24" spans="1:16" ht="12.75" customHeight="1">
      <c r="A24" s="1" t="s">
        <v>14</v>
      </c>
      <c r="B24" s="1" t="s">
        <v>46</v>
      </c>
      <c r="C24" s="1">
        <v>23</v>
      </c>
      <c r="D24" s="1" t="s">
        <v>20</v>
      </c>
      <c r="E24" s="1"/>
      <c r="F24" s="1"/>
      <c r="G24" s="1"/>
      <c r="H24" s="1">
        <v>4</v>
      </c>
      <c r="I24" s="1">
        <v>5066</v>
      </c>
      <c r="J24" s="1">
        <v>5652</v>
      </c>
      <c r="K24" s="1">
        <v>3432</v>
      </c>
      <c r="L24" s="1">
        <v>56.874000000000002</v>
      </c>
      <c r="M24" s="1">
        <v>0.63900000000000001</v>
      </c>
      <c r="N24" s="1">
        <v>0.11600000000000001</v>
      </c>
      <c r="O24" s="1">
        <v>1.9962000000000001E-3</v>
      </c>
      <c r="P24" s="1">
        <v>-4.4889999999999999</v>
      </c>
    </row>
    <row r="25" spans="1:16" ht="12.75" customHeight="1">
      <c r="A25" s="1" t="s">
        <v>14</v>
      </c>
      <c r="B25" s="1" t="s">
        <v>47</v>
      </c>
      <c r="C25" s="1">
        <v>24</v>
      </c>
      <c r="D25" s="1" t="s">
        <v>20</v>
      </c>
      <c r="E25" s="1"/>
      <c r="F25" s="1"/>
      <c r="G25" s="1"/>
      <c r="H25" s="1">
        <v>4</v>
      </c>
      <c r="I25" s="1">
        <v>5032</v>
      </c>
      <c r="J25" s="1">
        <v>5612</v>
      </c>
      <c r="K25" s="1">
        <v>3409</v>
      </c>
      <c r="L25" s="1">
        <v>56.07</v>
      </c>
      <c r="M25" s="1">
        <v>0.63</v>
      </c>
      <c r="N25" s="1">
        <v>0.115</v>
      </c>
      <c r="O25" s="1">
        <v>1.9959000000000001E-3</v>
      </c>
      <c r="P25" s="1">
        <v>-4.6360000000000001</v>
      </c>
    </row>
    <row r="26" spans="1:16" ht="12.75" customHeight="1">
      <c r="A26" s="1" t="s">
        <v>14</v>
      </c>
      <c r="B26" s="1" t="s">
        <v>48</v>
      </c>
      <c r="C26" s="1">
        <v>25</v>
      </c>
      <c r="D26" s="1" t="s">
        <v>49</v>
      </c>
      <c r="E26" s="1"/>
      <c r="F26" s="1"/>
      <c r="G26" s="1"/>
      <c r="H26" s="1">
        <v>4</v>
      </c>
      <c r="I26" s="1">
        <v>4948</v>
      </c>
      <c r="J26" s="1">
        <v>5519</v>
      </c>
      <c r="K26" s="1">
        <v>3335</v>
      </c>
      <c r="L26" s="1">
        <v>55.597000000000001</v>
      </c>
      <c r="M26" s="1">
        <v>0.625</v>
      </c>
      <c r="N26" s="1">
        <v>0.113</v>
      </c>
      <c r="O26" s="1">
        <v>1.9859999999999999E-3</v>
      </c>
      <c r="P26" s="1">
        <v>-9.5619999999999994</v>
      </c>
    </row>
    <row r="27" spans="1:16" ht="12.75" customHeight="1">
      <c r="A27" s="1" t="s">
        <v>14</v>
      </c>
      <c r="B27" s="1" t="s">
        <v>50</v>
      </c>
      <c r="C27" s="1">
        <v>26</v>
      </c>
      <c r="D27" s="1" t="s">
        <v>49</v>
      </c>
      <c r="E27" s="1"/>
      <c r="F27" s="1"/>
      <c r="G27" s="1"/>
      <c r="H27" s="1">
        <v>4</v>
      </c>
      <c r="I27" s="1">
        <v>4931</v>
      </c>
      <c r="J27" s="1">
        <v>5500</v>
      </c>
      <c r="K27" s="1">
        <v>3323</v>
      </c>
      <c r="L27" s="1">
        <v>55.024000000000001</v>
      </c>
      <c r="M27" s="1">
        <v>0.61799999999999999</v>
      </c>
      <c r="N27" s="1">
        <v>0.112</v>
      </c>
      <c r="O27" s="1">
        <v>1.9853000000000002E-3</v>
      </c>
      <c r="P27" s="1">
        <v>-9.8989999999999991</v>
      </c>
    </row>
    <row r="28" spans="1:16" ht="12.75" customHeight="1">
      <c r="A28" s="1" t="s">
        <v>14</v>
      </c>
      <c r="B28" s="1" t="s">
        <v>51</v>
      </c>
      <c r="C28" s="1">
        <v>27</v>
      </c>
      <c r="D28" s="1" t="s">
        <v>52</v>
      </c>
      <c r="E28" s="1"/>
      <c r="F28" s="1"/>
      <c r="G28" s="1"/>
      <c r="H28" s="1">
        <v>4</v>
      </c>
      <c r="I28" s="1">
        <v>4905</v>
      </c>
      <c r="J28" s="1">
        <v>5471</v>
      </c>
      <c r="K28" s="1">
        <v>3290</v>
      </c>
      <c r="L28" s="1">
        <v>55.267000000000003</v>
      </c>
      <c r="M28" s="1">
        <v>0.621</v>
      </c>
      <c r="N28" s="1">
        <v>0.112</v>
      </c>
      <c r="O28" s="1">
        <v>1.977E-3</v>
      </c>
      <c r="P28" s="1">
        <v>-14.07</v>
      </c>
    </row>
    <row r="29" spans="1:16" ht="12.75" customHeight="1">
      <c r="A29" s="1" t="s">
        <v>14</v>
      </c>
      <c r="B29" s="1" t="s">
        <v>53</v>
      </c>
      <c r="C29" s="1">
        <v>28</v>
      </c>
      <c r="D29" s="1" t="s">
        <v>52</v>
      </c>
      <c r="E29" s="1"/>
      <c r="F29" s="1"/>
      <c r="G29" s="1"/>
      <c r="H29" s="1">
        <v>4</v>
      </c>
      <c r="I29" s="1">
        <v>4984</v>
      </c>
      <c r="J29" s="1">
        <v>5559</v>
      </c>
      <c r="K29" s="1">
        <v>3343</v>
      </c>
      <c r="L29" s="1">
        <v>55.76</v>
      </c>
      <c r="M29" s="1">
        <v>0.626</v>
      </c>
      <c r="N29" s="1">
        <v>0.113</v>
      </c>
      <c r="O29" s="1">
        <v>1.9765E-3</v>
      </c>
      <c r="P29" s="1">
        <v>-14.33</v>
      </c>
    </row>
    <row r="30" spans="1:16" ht="12.75" customHeight="1">
      <c r="A30" s="1" t="s">
        <v>14</v>
      </c>
      <c r="B30" s="1" t="s">
        <v>54</v>
      </c>
      <c r="C30" s="1">
        <v>29</v>
      </c>
      <c r="D30" s="1" t="s">
        <v>55</v>
      </c>
      <c r="E30" s="1"/>
      <c r="F30" s="1"/>
      <c r="G30" s="1"/>
      <c r="H30" s="1">
        <v>4</v>
      </c>
      <c r="I30" s="1">
        <v>5049</v>
      </c>
      <c r="J30" s="1">
        <v>5630</v>
      </c>
      <c r="K30" s="1">
        <v>3409</v>
      </c>
      <c r="L30" s="1">
        <v>55.293999999999997</v>
      </c>
      <c r="M30" s="1">
        <v>0.621</v>
      </c>
      <c r="N30" s="1">
        <v>0.113</v>
      </c>
      <c r="O30" s="1">
        <v>1.9894999999999999E-3</v>
      </c>
      <c r="P30" s="1">
        <v>-7.8310000000000004</v>
      </c>
    </row>
    <row r="31" spans="1:16" ht="12.75" customHeight="1">
      <c r="A31" s="1" t="s">
        <v>14</v>
      </c>
      <c r="B31" s="1" t="s">
        <v>56</v>
      </c>
      <c r="C31" s="1">
        <v>30</v>
      </c>
      <c r="D31" s="1" t="s">
        <v>55</v>
      </c>
      <c r="E31" s="1"/>
      <c r="F31" s="1"/>
      <c r="G31" s="1"/>
      <c r="H31" s="1">
        <v>4</v>
      </c>
      <c r="I31" s="1">
        <v>5051</v>
      </c>
      <c r="J31" s="1">
        <v>5633</v>
      </c>
      <c r="K31" s="1">
        <v>3412</v>
      </c>
      <c r="L31" s="1">
        <v>56.61</v>
      </c>
      <c r="M31" s="1">
        <v>0.63600000000000001</v>
      </c>
      <c r="N31" s="1">
        <v>0.115</v>
      </c>
      <c r="O31" s="1">
        <v>1.9908E-3</v>
      </c>
      <c r="P31" s="1">
        <v>-7.1970000000000001</v>
      </c>
    </row>
    <row r="32" spans="1:16" ht="12.75" customHeight="1">
      <c r="A32" s="1" t="s">
        <v>14</v>
      </c>
      <c r="B32" s="1" t="s">
        <v>57</v>
      </c>
      <c r="C32" s="1">
        <v>31</v>
      </c>
      <c r="D32" s="1" t="s">
        <v>58</v>
      </c>
      <c r="E32" s="1"/>
      <c r="F32" s="1"/>
      <c r="G32" s="1"/>
      <c r="H32" s="1">
        <v>4</v>
      </c>
      <c r="I32" s="1">
        <v>4909</v>
      </c>
      <c r="J32" s="1">
        <v>5476</v>
      </c>
      <c r="K32" s="1">
        <v>3333</v>
      </c>
      <c r="L32" s="1">
        <v>54.860999999999997</v>
      </c>
      <c r="M32" s="1">
        <v>0.61699999999999999</v>
      </c>
      <c r="N32" s="1">
        <v>0.112</v>
      </c>
      <c r="O32" s="1">
        <v>2.0003E-3</v>
      </c>
      <c r="P32" s="1">
        <v>-2.4409999999999998</v>
      </c>
    </row>
    <row r="33" spans="1:16" ht="12.75" customHeight="1">
      <c r="A33" s="1" t="s">
        <v>14</v>
      </c>
      <c r="B33" s="1" t="s">
        <v>59</v>
      </c>
      <c r="C33" s="1">
        <v>32</v>
      </c>
      <c r="D33" s="1" t="s">
        <v>58</v>
      </c>
      <c r="E33" s="1"/>
      <c r="F33" s="1"/>
      <c r="G33" s="1"/>
      <c r="H33" s="1">
        <v>4</v>
      </c>
      <c r="I33" s="1">
        <v>4922</v>
      </c>
      <c r="J33" s="1">
        <v>5490</v>
      </c>
      <c r="K33" s="1">
        <v>3342</v>
      </c>
      <c r="L33" s="1">
        <v>55.228000000000002</v>
      </c>
      <c r="M33" s="1">
        <v>0.621</v>
      </c>
      <c r="N33" s="1">
        <v>0.113</v>
      </c>
      <c r="O33" s="1">
        <v>2.0003999999999998E-3</v>
      </c>
      <c r="P33" s="1">
        <v>-2.3820000000000001</v>
      </c>
    </row>
    <row r="34" spans="1:16" ht="12.75" customHeight="1">
      <c r="A34" s="1" t="s">
        <v>14</v>
      </c>
      <c r="B34" s="1" t="s">
        <v>60</v>
      </c>
      <c r="C34" s="1">
        <v>33</v>
      </c>
      <c r="D34" s="1" t="s">
        <v>61</v>
      </c>
      <c r="E34" s="1"/>
      <c r="F34" s="1"/>
      <c r="G34" s="1"/>
      <c r="H34" s="1">
        <v>4</v>
      </c>
      <c r="I34" s="1">
        <v>4942</v>
      </c>
      <c r="J34" s="1">
        <v>5512</v>
      </c>
      <c r="K34" s="1">
        <v>3347</v>
      </c>
      <c r="L34" s="1">
        <v>55.462000000000003</v>
      </c>
      <c r="M34" s="1">
        <v>0.623</v>
      </c>
      <c r="N34" s="1">
        <v>0.113</v>
      </c>
      <c r="O34" s="1">
        <v>1.9956000000000002E-3</v>
      </c>
      <c r="P34" s="1">
        <v>-4.7839999999999998</v>
      </c>
    </row>
    <row r="35" spans="1:16" ht="12.75" customHeight="1">
      <c r="A35" s="1" t="s">
        <v>14</v>
      </c>
      <c r="B35" s="1" t="s">
        <v>62</v>
      </c>
      <c r="C35" s="1">
        <v>34</v>
      </c>
      <c r="D35" s="1" t="s">
        <v>61</v>
      </c>
      <c r="E35" s="1"/>
      <c r="F35" s="1"/>
      <c r="G35" s="1"/>
      <c r="H35" s="1">
        <v>4</v>
      </c>
      <c r="I35" s="1">
        <v>5028</v>
      </c>
      <c r="J35" s="1">
        <v>5608</v>
      </c>
      <c r="K35" s="1">
        <v>3406</v>
      </c>
      <c r="L35" s="1">
        <v>56.371000000000002</v>
      </c>
      <c r="M35" s="1">
        <v>0.63300000000000001</v>
      </c>
      <c r="N35" s="1">
        <v>0.115</v>
      </c>
      <c r="O35" s="1">
        <v>1.9957E-3</v>
      </c>
      <c r="P35" s="1">
        <v>-4.7610000000000001</v>
      </c>
    </row>
    <row r="36" spans="1:16" ht="12.75" customHeight="1">
      <c r="A36" s="1" t="s">
        <v>14</v>
      </c>
      <c r="B36" s="1" t="s">
        <v>63</v>
      </c>
      <c r="C36" s="1">
        <v>35</v>
      </c>
      <c r="D36" s="1" t="s">
        <v>20</v>
      </c>
      <c r="E36" s="1"/>
      <c r="F36" s="1"/>
      <c r="G36" s="1"/>
      <c r="H36" s="1">
        <v>4</v>
      </c>
      <c r="I36" s="1">
        <v>5009</v>
      </c>
      <c r="J36" s="1">
        <v>5586</v>
      </c>
      <c r="K36" s="1">
        <v>3392</v>
      </c>
      <c r="L36" s="1">
        <v>56.177</v>
      </c>
      <c r="M36" s="1">
        <v>0.63100000000000001</v>
      </c>
      <c r="N36" s="1">
        <v>0.115</v>
      </c>
      <c r="O36" s="1">
        <v>1.9959999999999999E-3</v>
      </c>
      <c r="P36" s="1">
        <v>-4.5810000000000004</v>
      </c>
    </row>
    <row r="37" spans="1:16" ht="12.75" customHeight="1">
      <c r="A37" s="1" t="s">
        <v>14</v>
      </c>
      <c r="B37" s="1" t="s">
        <v>64</v>
      </c>
      <c r="C37" s="1">
        <v>36</v>
      </c>
      <c r="D37" s="1" t="s">
        <v>20</v>
      </c>
      <c r="E37" s="1"/>
      <c r="F37" s="1"/>
      <c r="G37" s="1"/>
      <c r="H37" s="1">
        <v>4</v>
      </c>
      <c r="I37" s="1">
        <v>5047</v>
      </c>
      <c r="J37" s="1">
        <v>5630</v>
      </c>
      <c r="K37" s="1">
        <v>3418</v>
      </c>
      <c r="L37" s="1">
        <v>56.744999999999997</v>
      </c>
      <c r="M37" s="1">
        <v>0.63800000000000001</v>
      </c>
      <c r="N37" s="1">
        <v>0.11600000000000001</v>
      </c>
      <c r="O37" s="1">
        <v>1.9962999999999999E-3</v>
      </c>
      <c r="P37" s="1">
        <v>-4.4569999999999999</v>
      </c>
    </row>
    <row r="38" spans="1:16" ht="12.75" customHeight="1">
      <c r="A38" s="1" t="s">
        <v>14</v>
      </c>
      <c r="B38" s="1" t="s">
        <v>65</v>
      </c>
      <c r="C38" s="1">
        <v>37</v>
      </c>
      <c r="D38" s="1" t="s">
        <v>66</v>
      </c>
      <c r="E38" s="1"/>
      <c r="F38" s="1"/>
      <c r="G38" s="1"/>
      <c r="H38" s="1">
        <v>4</v>
      </c>
      <c r="I38" s="1">
        <v>4966</v>
      </c>
      <c r="J38" s="1">
        <v>5539</v>
      </c>
      <c r="K38" s="1">
        <v>3370</v>
      </c>
      <c r="L38" s="1">
        <v>55.426000000000002</v>
      </c>
      <c r="M38" s="1">
        <v>0.623</v>
      </c>
      <c r="N38" s="1">
        <v>0.113</v>
      </c>
      <c r="O38" s="1">
        <v>2.0002000000000002E-3</v>
      </c>
      <c r="P38" s="1">
        <v>-2.4889999999999999</v>
      </c>
    </row>
    <row r="39" spans="1:16" ht="12.75" customHeight="1">
      <c r="A39" s="1" t="s">
        <v>14</v>
      </c>
      <c r="B39" s="1" t="s">
        <v>67</v>
      </c>
      <c r="C39" s="1">
        <v>38</v>
      </c>
      <c r="D39" s="1" t="s">
        <v>66</v>
      </c>
      <c r="E39" s="1"/>
      <c r="F39" s="1"/>
      <c r="G39" s="1"/>
      <c r="H39" s="1">
        <v>4</v>
      </c>
      <c r="I39" s="1">
        <v>4991</v>
      </c>
      <c r="J39" s="1">
        <v>5567</v>
      </c>
      <c r="K39" s="1">
        <v>3389</v>
      </c>
      <c r="L39" s="1">
        <v>56.215000000000003</v>
      </c>
      <c r="M39" s="1">
        <v>0.63200000000000001</v>
      </c>
      <c r="N39" s="1">
        <v>0.115</v>
      </c>
      <c r="O39" s="1">
        <v>2.0011E-3</v>
      </c>
      <c r="P39" s="1">
        <v>-2.0510000000000002</v>
      </c>
    </row>
    <row r="40" spans="1:16" ht="12.75" customHeight="1">
      <c r="A40" s="1" t="s">
        <v>14</v>
      </c>
      <c r="B40" s="1" t="s">
        <v>68</v>
      </c>
      <c r="C40" s="1">
        <v>39</v>
      </c>
      <c r="D40" s="1" t="s">
        <v>69</v>
      </c>
      <c r="E40" s="1"/>
      <c r="F40" s="1"/>
      <c r="G40" s="1"/>
      <c r="H40" s="1">
        <v>4</v>
      </c>
      <c r="I40" s="1">
        <v>4961</v>
      </c>
      <c r="J40" s="1">
        <v>5533</v>
      </c>
      <c r="K40" s="1">
        <v>3362</v>
      </c>
      <c r="L40" s="1">
        <v>55.636000000000003</v>
      </c>
      <c r="M40" s="1">
        <v>0.625</v>
      </c>
      <c r="N40" s="1">
        <v>0.114</v>
      </c>
      <c r="O40" s="1">
        <v>1.9968E-3</v>
      </c>
      <c r="P40" s="1">
        <v>-4.1929999999999996</v>
      </c>
    </row>
    <row r="41" spans="1:16" ht="12.75" customHeight="1">
      <c r="A41" s="1" t="s">
        <v>70</v>
      </c>
      <c r="B41" s="1" t="s">
        <v>71</v>
      </c>
      <c r="C41" s="1">
        <v>40</v>
      </c>
      <c r="D41" s="1" t="s">
        <v>69</v>
      </c>
      <c r="E41" s="1"/>
      <c r="F41" s="1"/>
      <c r="G41" s="1"/>
      <c r="H41" s="1">
        <v>4</v>
      </c>
      <c r="I41" s="1">
        <v>5005</v>
      </c>
      <c r="J41" s="1">
        <v>5583</v>
      </c>
      <c r="K41" s="1">
        <v>3392</v>
      </c>
      <c r="L41" s="1">
        <v>56.499000000000002</v>
      </c>
      <c r="M41" s="1">
        <v>0.63500000000000001</v>
      </c>
      <c r="N41" s="1">
        <v>0.115</v>
      </c>
      <c r="O41" s="1">
        <v>1.9967000000000001E-3</v>
      </c>
      <c r="P41" s="1">
        <v>-4.2229999999999999</v>
      </c>
    </row>
    <row r="42" spans="1:16" ht="12.75" customHeight="1">
      <c r="A42" s="1" t="s">
        <v>70</v>
      </c>
      <c r="B42" s="1" t="s">
        <v>72</v>
      </c>
      <c r="C42" s="1">
        <v>41</v>
      </c>
      <c r="D42" s="1" t="s">
        <v>73</v>
      </c>
      <c r="E42" s="1"/>
      <c r="F42" s="1"/>
      <c r="G42" s="1"/>
      <c r="H42" s="1">
        <v>4</v>
      </c>
      <c r="I42" s="1">
        <v>5029</v>
      </c>
      <c r="J42" s="1">
        <v>5609</v>
      </c>
      <c r="K42" s="1">
        <v>3416</v>
      </c>
      <c r="L42" s="1">
        <v>56.494</v>
      </c>
      <c r="M42" s="1">
        <v>0.63500000000000001</v>
      </c>
      <c r="N42" s="1">
        <v>0.11600000000000001</v>
      </c>
      <c r="O42" s="1">
        <v>2.0010000000000002E-3</v>
      </c>
      <c r="P42" s="1">
        <v>-2.1030000000000002</v>
      </c>
    </row>
    <row r="43" spans="1:16" ht="12.75" customHeight="1">
      <c r="A43" s="1" t="s">
        <v>70</v>
      </c>
      <c r="B43" s="1" t="s">
        <v>74</v>
      </c>
      <c r="C43" s="1">
        <v>42</v>
      </c>
      <c r="D43" s="1" t="s">
        <v>73</v>
      </c>
      <c r="E43" s="1"/>
      <c r="F43" s="1"/>
      <c r="G43" s="1"/>
      <c r="H43" s="1">
        <v>4</v>
      </c>
      <c r="I43" s="1">
        <v>5089</v>
      </c>
      <c r="J43" s="1">
        <v>5677</v>
      </c>
      <c r="K43" s="1">
        <v>3456</v>
      </c>
      <c r="L43" s="1">
        <v>56.935000000000002</v>
      </c>
      <c r="M43" s="1">
        <v>0.64</v>
      </c>
      <c r="N43" s="1">
        <v>0.11700000000000001</v>
      </c>
      <c r="O43" s="1">
        <v>2.0008000000000001E-3</v>
      </c>
      <c r="P43" s="1">
        <v>-2.2130000000000001</v>
      </c>
    </row>
    <row r="44" spans="1:16" ht="12.75" customHeight="1">
      <c r="A44" s="1" t="s">
        <v>70</v>
      </c>
      <c r="B44" s="1" t="s">
        <v>75</v>
      </c>
      <c r="C44" s="1">
        <v>43</v>
      </c>
      <c r="D44" s="1" t="s">
        <v>76</v>
      </c>
      <c r="E44" s="1"/>
      <c r="F44" s="1"/>
      <c r="G44" s="1"/>
      <c r="H44" s="1">
        <v>4</v>
      </c>
      <c r="I44" s="1">
        <v>5122</v>
      </c>
      <c r="J44" s="1">
        <v>5713</v>
      </c>
      <c r="K44" s="1">
        <v>3470</v>
      </c>
      <c r="L44" s="1">
        <v>57.917999999999999</v>
      </c>
      <c r="M44" s="1">
        <v>0.65100000000000002</v>
      </c>
      <c r="N44" s="1">
        <v>0.11799999999999999</v>
      </c>
      <c r="O44" s="1">
        <v>1.9968E-3</v>
      </c>
      <c r="P44" s="1">
        <v>-4.165</v>
      </c>
    </row>
    <row r="45" spans="1:16" ht="12.75" customHeight="1">
      <c r="A45" s="1" t="s">
        <v>70</v>
      </c>
      <c r="B45" s="1" t="s">
        <v>77</v>
      </c>
      <c r="C45" s="1">
        <v>44</v>
      </c>
      <c r="D45" s="1" t="s">
        <v>76</v>
      </c>
      <c r="E45" s="1"/>
      <c r="F45" s="1"/>
      <c r="G45" s="1"/>
      <c r="H45" s="1">
        <v>4</v>
      </c>
      <c r="I45" s="1">
        <v>5062</v>
      </c>
      <c r="J45" s="1">
        <v>5646</v>
      </c>
      <c r="K45" s="1">
        <v>3430</v>
      </c>
      <c r="L45" s="1">
        <v>57.021999999999998</v>
      </c>
      <c r="M45" s="1">
        <v>0.64100000000000001</v>
      </c>
      <c r="N45" s="1">
        <v>0.11700000000000001</v>
      </c>
      <c r="O45" s="1">
        <v>1.9965999999999999E-3</v>
      </c>
      <c r="P45" s="1">
        <v>-4.298</v>
      </c>
    </row>
    <row r="46" spans="1:16" ht="12.75" customHeight="1">
      <c r="A46" s="1" t="s">
        <v>70</v>
      </c>
      <c r="B46" s="1" t="s">
        <v>78</v>
      </c>
      <c r="C46" s="1">
        <v>45</v>
      </c>
      <c r="D46" s="1" t="s">
        <v>79</v>
      </c>
      <c r="E46" s="1"/>
      <c r="F46" s="1"/>
      <c r="G46" s="1"/>
      <c r="H46" s="1">
        <v>4</v>
      </c>
      <c r="I46" s="1">
        <v>4914</v>
      </c>
      <c r="J46" s="1">
        <v>5481</v>
      </c>
      <c r="K46" s="1">
        <v>3334</v>
      </c>
      <c r="L46" s="1">
        <v>55.064</v>
      </c>
      <c r="M46" s="1">
        <v>0.61899999999999999</v>
      </c>
      <c r="N46" s="1">
        <v>0.113</v>
      </c>
      <c r="O46" s="1">
        <v>1.9995999999999998E-3</v>
      </c>
      <c r="P46" s="1">
        <v>-2.8029999999999999</v>
      </c>
    </row>
    <row r="47" spans="1:16" ht="12.75" customHeight="1">
      <c r="A47" s="1" t="s">
        <v>70</v>
      </c>
      <c r="B47" s="1" t="s">
        <v>80</v>
      </c>
      <c r="C47" s="1">
        <v>46</v>
      </c>
      <c r="D47" s="1" t="s">
        <v>79</v>
      </c>
      <c r="E47" s="1"/>
      <c r="F47" s="1"/>
      <c r="G47" s="1"/>
      <c r="H47" s="1">
        <v>4</v>
      </c>
      <c r="I47" s="1">
        <v>5045</v>
      </c>
      <c r="J47" s="1">
        <v>5628</v>
      </c>
      <c r="K47" s="1">
        <v>3424</v>
      </c>
      <c r="L47" s="1">
        <v>56.956000000000003</v>
      </c>
      <c r="M47" s="1">
        <v>0.64</v>
      </c>
      <c r="N47" s="1">
        <v>0.11700000000000001</v>
      </c>
      <c r="O47" s="1">
        <v>2.0003999999999998E-3</v>
      </c>
      <c r="P47" s="1">
        <v>-2.41</v>
      </c>
    </row>
    <row r="48" spans="1:16" ht="12.75" customHeight="1">
      <c r="A48" s="1" t="s">
        <v>70</v>
      </c>
      <c r="B48" s="1" t="s">
        <v>81</v>
      </c>
      <c r="C48" s="1">
        <v>47</v>
      </c>
      <c r="D48" s="1" t="s">
        <v>20</v>
      </c>
      <c r="E48" s="1"/>
      <c r="F48" s="1"/>
      <c r="G48" s="1"/>
      <c r="H48" s="1">
        <v>4</v>
      </c>
      <c r="I48" s="1">
        <v>5022</v>
      </c>
      <c r="J48" s="1">
        <v>5603</v>
      </c>
      <c r="K48" s="1">
        <v>3402</v>
      </c>
      <c r="L48" s="1">
        <v>56.533999999999999</v>
      </c>
      <c r="M48" s="1">
        <v>0.63500000000000001</v>
      </c>
      <c r="N48" s="1">
        <v>0.11600000000000001</v>
      </c>
      <c r="O48" s="1">
        <v>1.9964000000000002E-3</v>
      </c>
      <c r="P48" s="1">
        <v>-4.4059999999999997</v>
      </c>
    </row>
    <row r="49" spans="1:16" ht="12.75" customHeight="1">
      <c r="A49" s="1" t="s">
        <v>70</v>
      </c>
      <c r="B49" s="1" t="s">
        <v>82</v>
      </c>
      <c r="C49" s="1">
        <v>48</v>
      </c>
      <c r="D49" s="1" t="s">
        <v>20</v>
      </c>
      <c r="E49" s="1"/>
      <c r="F49" s="1"/>
      <c r="G49" s="1"/>
      <c r="H49" s="1">
        <v>4</v>
      </c>
      <c r="I49" s="1">
        <v>5018</v>
      </c>
      <c r="J49" s="1">
        <v>5598</v>
      </c>
      <c r="K49" s="1">
        <v>3398</v>
      </c>
      <c r="L49" s="1">
        <v>56.94</v>
      </c>
      <c r="M49" s="1">
        <v>0.64</v>
      </c>
      <c r="N49" s="1">
        <v>0.11600000000000001</v>
      </c>
      <c r="O49" s="1">
        <v>1.9959999999999999E-3</v>
      </c>
      <c r="P49" s="1">
        <v>-4.5940000000000003</v>
      </c>
    </row>
    <row r="50" spans="1:16" ht="12.75" customHeight="1">
      <c r="A50" s="1" t="s">
        <v>70</v>
      </c>
      <c r="B50" s="1" t="s">
        <v>83</v>
      </c>
      <c r="C50" s="1">
        <v>49</v>
      </c>
      <c r="D50" s="1" t="s">
        <v>84</v>
      </c>
      <c r="E50" s="1"/>
      <c r="F50" s="1"/>
      <c r="G50" s="1"/>
      <c r="H50" s="1">
        <v>4</v>
      </c>
      <c r="I50" s="1">
        <v>5033</v>
      </c>
      <c r="J50" s="1">
        <v>5613</v>
      </c>
      <c r="K50" s="1">
        <v>3375</v>
      </c>
      <c r="L50" s="1">
        <v>56.546999999999997</v>
      </c>
      <c r="M50" s="1">
        <v>0.63500000000000001</v>
      </c>
      <c r="N50" s="1">
        <v>0.114</v>
      </c>
      <c r="O50" s="1">
        <v>1.9762999999999998E-3</v>
      </c>
      <c r="P50" s="1">
        <v>-14.414</v>
      </c>
    </row>
    <row r="51" spans="1:16" ht="12.75" customHeight="1">
      <c r="A51" s="1" t="s">
        <v>70</v>
      </c>
      <c r="B51" s="1" t="s">
        <v>85</v>
      </c>
      <c r="C51" s="1">
        <v>50</v>
      </c>
      <c r="D51" s="1" t="s">
        <v>84</v>
      </c>
      <c r="E51" s="1"/>
      <c r="F51" s="1"/>
      <c r="G51" s="1"/>
      <c r="H51" s="1">
        <v>4</v>
      </c>
      <c r="I51" s="1">
        <v>4950</v>
      </c>
      <c r="J51" s="1">
        <v>5520</v>
      </c>
      <c r="K51" s="1">
        <v>3320</v>
      </c>
      <c r="L51" s="1">
        <v>55.668999999999997</v>
      </c>
      <c r="M51" s="1">
        <v>0.626</v>
      </c>
      <c r="N51" s="1">
        <v>0.113</v>
      </c>
      <c r="O51" s="1">
        <v>1.9765E-3</v>
      </c>
      <c r="P51" s="1">
        <v>-14.33</v>
      </c>
    </row>
    <row r="52" spans="1:16" ht="12.75" customHeight="1">
      <c r="A52" s="1" t="s">
        <v>70</v>
      </c>
      <c r="B52" s="1" t="s">
        <v>86</v>
      </c>
      <c r="C52" s="1">
        <v>51</v>
      </c>
      <c r="D52" s="1" t="s">
        <v>87</v>
      </c>
      <c r="E52" s="1"/>
      <c r="F52" s="1"/>
      <c r="G52" s="1"/>
      <c r="H52" s="1">
        <v>4</v>
      </c>
      <c r="I52" s="1">
        <v>4953</v>
      </c>
      <c r="J52" s="1">
        <v>5525</v>
      </c>
      <c r="K52" s="1">
        <v>3366</v>
      </c>
      <c r="L52" s="1">
        <v>55.664999999999999</v>
      </c>
      <c r="M52" s="1">
        <v>0.626</v>
      </c>
      <c r="N52" s="1">
        <v>0.114</v>
      </c>
      <c r="O52" s="1">
        <v>2.0019999999999999E-3</v>
      </c>
      <c r="P52" s="1">
        <v>-1.5840000000000001</v>
      </c>
    </row>
    <row r="53" spans="1:16" ht="12.75" customHeight="1">
      <c r="A53" s="1" t="s">
        <v>70</v>
      </c>
      <c r="B53" s="1" t="s">
        <v>88</v>
      </c>
      <c r="C53" s="1">
        <v>52</v>
      </c>
      <c r="D53" s="1" t="s">
        <v>87</v>
      </c>
      <c r="E53" s="1"/>
      <c r="F53" s="1"/>
      <c r="G53" s="1"/>
      <c r="H53" s="1">
        <v>4</v>
      </c>
      <c r="I53" s="1">
        <v>4997</v>
      </c>
      <c r="J53" s="1">
        <v>5574</v>
      </c>
      <c r="K53" s="1">
        <v>3396</v>
      </c>
      <c r="L53" s="1">
        <v>55.914999999999999</v>
      </c>
      <c r="M53" s="1">
        <v>0.628</v>
      </c>
      <c r="N53" s="1">
        <v>0.115</v>
      </c>
      <c r="O53" s="1">
        <v>2.0022E-3</v>
      </c>
      <c r="P53" s="1">
        <v>-1.492</v>
      </c>
    </row>
    <row r="54" spans="1:16" ht="12.75" customHeight="1">
      <c r="A54" s="1" t="s">
        <v>70</v>
      </c>
      <c r="B54" s="1" t="s">
        <v>89</v>
      </c>
      <c r="C54" s="1">
        <v>53</v>
      </c>
      <c r="D54" s="1" t="s">
        <v>90</v>
      </c>
      <c r="E54" s="1"/>
      <c r="F54" s="1"/>
      <c r="G54" s="1"/>
      <c r="H54" s="1">
        <v>4</v>
      </c>
      <c r="I54" s="1">
        <v>4968</v>
      </c>
      <c r="J54" s="1">
        <v>5543</v>
      </c>
      <c r="K54" s="1">
        <v>3379</v>
      </c>
      <c r="L54" s="1">
        <v>55.838999999999999</v>
      </c>
      <c r="M54" s="1">
        <v>0.628</v>
      </c>
      <c r="N54" s="1">
        <v>0.115</v>
      </c>
      <c r="O54" s="1">
        <v>2.0048000000000002E-3</v>
      </c>
      <c r="P54" s="1">
        <v>-0.224</v>
      </c>
    </row>
    <row r="55" spans="1:16" ht="12.75" customHeight="1">
      <c r="A55" s="1" t="s">
        <v>70</v>
      </c>
      <c r="B55" s="1" t="s">
        <v>91</v>
      </c>
      <c r="C55" s="1">
        <v>54</v>
      </c>
      <c r="D55" s="1" t="s">
        <v>90</v>
      </c>
      <c r="E55" s="1"/>
      <c r="F55" s="1"/>
      <c r="G55" s="1"/>
      <c r="H55" s="1">
        <v>4</v>
      </c>
      <c r="I55" s="1">
        <v>5001</v>
      </c>
      <c r="J55" s="1">
        <v>5580</v>
      </c>
      <c r="K55" s="1">
        <v>3402</v>
      </c>
      <c r="L55" s="1">
        <v>56.213999999999999</v>
      </c>
      <c r="M55" s="1">
        <v>0.63200000000000001</v>
      </c>
      <c r="N55" s="1">
        <v>0.115</v>
      </c>
      <c r="O55" s="1">
        <v>2.0046999999999999E-3</v>
      </c>
      <c r="P55" s="1">
        <v>-0.27200000000000002</v>
      </c>
    </row>
    <row r="56" spans="1:16" ht="12.75" customHeight="1">
      <c r="A56" s="1" t="s">
        <v>70</v>
      </c>
      <c r="B56" s="1" t="s">
        <v>92</v>
      </c>
      <c r="C56" s="1">
        <v>55</v>
      </c>
      <c r="D56" s="1" t="s">
        <v>93</v>
      </c>
      <c r="E56" s="1"/>
      <c r="F56" s="1"/>
      <c r="G56" s="1"/>
      <c r="H56" s="1">
        <v>4</v>
      </c>
      <c r="I56" s="1">
        <v>5073</v>
      </c>
      <c r="J56" s="1">
        <v>5659</v>
      </c>
      <c r="K56" s="1">
        <v>3447</v>
      </c>
      <c r="L56" s="1">
        <v>57.228999999999999</v>
      </c>
      <c r="M56" s="1">
        <v>0.64300000000000002</v>
      </c>
      <c r="N56" s="1">
        <v>0.11700000000000001</v>
      </c>
      <c r="O56" s="1">
        <v>2.0019999999999999E-3</v>
      </c>
      <c r="P56" s="1">
        <v>-1.611</v>
      </c>
    </row>
    <row r="57" spans="1:16" ht="12.75" customHeight="1">
      <c r="A57" s="1" t="s">
        <v>70</v>
      </c>
      <c r="B57" s="1" t="s">
        <v>94</v>
      </c>
      <c r="C57" s="1">
        <v>56</v>
      </c>
      <c r="D57" s="1" t="s">
        <v>93</v>
      </c>
      <c r="E57" s="1"/>
      <c r="F57" s="1"/>
      <c r="G57" s="1"/>
      <c r="H57" s="1">
        <v>4</v>
      </c>
      <c r="I57" s="1">
        <v>5033</v>
      </c>
      <c r="J57" s="1">
        <v>5614</v>
      </c>
      <c r="K57" s="1">
        <v>3419</v>
      </c>
      <c r="L57" s="1">
        <v>56.845999999999997</v>
      </c>
      <c r="M57" s="1">
        <v>0.63900000000000001</v>
      </c>
      <c r="N57" s="1">
        <v>0.11700000000000001</v>
      </c>
      <c r="O57" s="1">
        <v>2.0019999999999999E-3</v>
      </c>
      <c r="P57" s="1">
        <v>-1.5760000000000001</v>
      </c>
    </row>
    <row r="58" spans="1:16" ht="12.75" customHeight="1">
      <c r="A58" s="1" t="s">
        <v>70</v>
      </c>
      <c r="B58" s="1" t="s">
        <v>95</v>
      </c>
      <c r="C58" s="1">
        <v>57</v>
      </c>
      <c r="D58" s="1" t="s">
        <v>96</v>
      </c>
      <c r="E58" s="1"/>
      <c r="F58" s="1"/>
      <c r="G58" s="1"/>
      <c r="H58" s="1">
        <v>4</v>
      </c>
      <c r="I58" s="1">
        <v>4966</v>
      </c>
      <c r="J58" s="1">
        <v>5540</v>
      </c>
      <c r="K58" s="1">
        <v>3368</v>
      </c>
      <c r="L58" s="1">
        <v>55.662999999999997</v>
      </c>
      <c r="M58" s="1">
        <v>0.626</v>
      </c>
      <c r="N58" s="1">
        <v>0.114</v>
      </c>
      <c r="O58" s="1">
        <v>1.9981999999999999E-3</v>
      </c>
      <c r="P58" s="1">
        <v>-3.5110000000000001</v>
      </c>
    </row>
    <row r="59" spans="1:16" ht="12.75" customHeight="1">
      <c r="A59" s="1" t="s">
        <v>70</v>
      </c>
      <c r="B59" s="1" t="s">
        <v>97</v>
      </c>
      <c r="C59" s="1">
        <v>58</v>
      </c>
      <c r="D59" s="1" t="s">
        <v>96</v>
      </c>
      <c r="E59" s="1"/>
      <c r="F59" s="1"/>
      <c r="G59" s="1"/>
      <c r="H59" s="1">
        <v>4</v>
      </c>
      <c r="I59" s="1">
        <v>5088</v>
      </c>
      <c r="J59" s="1">
        <v>5676</v>
      </c>
      <c r="K59" s="1">
        <v>3451</v>
      </c>
      <c r="L59" s="1">
        <v>57.463999999999999</v>
      </c>
      <c r="M59" s="1">
        <v>0.64600000000000002</v>
      </c>
      <c r="N59" s="1">
        <v>0.11799999999999999</v>
      </c>
      <c r="O59" s="1">
        <v>1.9986000000000001E-3</v>
      </c>
      <c r="P59" s="1">
        <v>-3.2719999999999998</v>
      </c>
    </row>
    <row r="60" spans="1:16" ht="12.75" customHeight="1">
      <c r="A60" s="1" t="s">
        <v>70</v>
      </c>
      <c r="B60" s="1" t="s">
        <v>98</v>
      </c>
      <c r="C60" s="1">
        <v>59</v>
      </c>
      <c r="D60" s="1" t="s">
        <v>20</v>
      </c>
      <c r="E60" s="1"/>
      <c r="F60" s="1"/>
      <c r="G60" s="1"/>
      <c r="H60" s="1">
        <v>4</v>
      </c>
      <c r="I60" s="1">
        <v>5022</v>
      </c>
      <c r="J60" s="1">
        <v>5602</v>
      </c>
      <c r="K60" s="1">
        <v>3402</v>
      </c>
      <c r="L60" s="1">
        <v>56.406999999999996</v>
      </c>
      <c r="M60" s="1">
        <v>0.63400000000000001</v>
      </c>
      <c r="N60" s="1">
        <v>0.115</v>
      </c>
      <c r="O60" s="1">
        <v>1.9959999999999999E-3</v>
      </c>
      <c r="P60" s="1">
        <v>-4.5659999999999998</v>
      </c>
    </row>
    <row r="61" spans="1:16" ht="12.75" customHeight="1">
      <c r="A61" s="1" t="s">
        <v>70</v>
      </c>
      <c r="B61" s="1" t="s">
        <v>99</v>
      </c>
      <c r="C61" s="1">
        <v>60</v>
      </c>
      <c r="D61" s="1" t="s">
        <v>20</v>
      </c>
      <c r="E61" s="1"/>
      <c r="F61" s="1"/>
      <c r="G61" s="1"/>
      <c r="H61" s="1">
        <v>4</v>
      </c>
      <c r="I61" s="1">
        <v>4986</v>
      </c>
      <c r="J61" s="1">
        <v>5562</v>
      </c>
      <c r="K61" s="1">
        <v>3377</v>
      </c>
      <c r="L61" s="1">
        <v>56.140999999999998</v>
      </c>
      <c r="M61" s="1">
        <v>0.63100000000000001</v>
      </c>
      <c r="N61" s="1">
        <v>0.115</v>
      </c>
      <c r="O61" s="1">
        <v>1.9960999999999998E-3</v>
      </c>
      <c r="P61" s="1">
        <v>-4.5250000000000004</v>
      </c>
    </row>
    <row r="62" spans="1:16" ht="12.75" customHeight="1">
      <c r="A62" s="1" t="s">
        <v>70</v>
      </c>
      <c r="B62" s="1" t="s">
        <v>100</v>
      </c>
      <c r="C62" s="1">
        <v>61</v>
      </c>
      <c r="D62" s="1" t="s">
        <v>101</v>
      </c>
      <c r="E62" s="1"/>
      <c r="F62" s="1"/>
      <c r="G62" s="1"/>
      <c r="H62" s="1">
        <v>4</v>
      </c>
      <c r="I62" s="1">
        <v>4973</v>
      </c>
      <c r="J62" s="1">
        <v>5548</v>
      </c>
      <c r="K62" s="1">
        <v>3378</v>
      </c>
      <c r="L62" s="1">
        <v>56.415999999999997</v>
      </c>
      <c r="M62" s="1">
        <v>0.63400000000000001</v>
      </c>
      <c r="N62" s="1">
        <v>0.11600000000000001</v>
      </c>
      <c r="O62" s="1">
        <v>2.0021000000000001E-3</v>
      </c>
      <c r="P62" s="1">
        <v>-1.5449999999999999</v>
      </c>
    </row>
    <row r="63" spans="1:16" ht="12.75" customHeight="1">
      <c r="A63" s="1" t="s">
        <v>70</v>
      </c>
      <c r="B63" s="1" t="s">
        <v>102</v>
      </c>
      <c r="C63" s="1">
        <v>62</v>
      </c>
      <c r="D63" s="1" t="s">
        <v>101</v>
      </c>
      <c r="E63" s="1"/>
      <c r="F63" s="1"/>
      <c r="G63" s="1"/>
      <c r="H63" s="1">
        <v>4</v>
      </c>
      <c r="I63" s="1">
        <v>5085</v>
      </c>
      <c r="J63" s="1">
        <v>5672</v>
      </c>
      <c r="K63" s="1">
        <v>3454</v>
      </c>
      <c r="L63" s="1">
        <v>57.387</v>
      </c>
      <c r="M63" s="1">
        <v>0.64500000000000002</v>
      </c>
      <c r="N63" s="1">
        <v>0.11799999999999999</v>
      </c>
      <c r="O63" s="1">
        <v>2.0018000000000002E-3</v>
      </c>
      <c r="P63" s="1">
        <v>-1.7130000000000001</v>
      </c>
    </row>
    <row r="64" spans="1:16" ht="12.75" customHeight="1">
      <c r="A64" s="1" t="s">
        <v>70</v>
      </c>
      <c r="B64" s="1" t="s">
        <v>103</v>
      </c>
      <c r="C64" s="1">
        <v>63</v>
      </c>
      <c r="D64" s="1" t="s">
        <v>104</v>
      </c>
      <c r="E64" s="1"/>
      <c r="F64" s="1"/>
      <c r="G64" s="1"/>
      <c r="H64" s="1">
        <v>4</v>
      </c>
      <c r="I64" s="1">
        <v>5183</v>
      </c>
      <c r="J64" s="1">
        <v>5780</v>
      </c>
      <c r="K64" s="1">
        <v>3508</v>
      </c>
      <c r="L64" s="1">
        <v>58.713000000000001</v>
      </c>
      <c r="M64" s="1">
        <v>0.66</v>
      </c>
      <c r="N64" s="1">
        <v>0.12</v>
      </c>
      <c r="O64" s="1">
        <v>1.9949E-3</v>
      </c>
      <c r="P64" s="1">
        <v>-5.1280000000000001</v>
      </c>
    </row>
    <row r="65" spans="1:16" ht="12.75" customHeight="1">
      <c r="A65" s="1" t="s">
        <v>70</v>
      </c>
      <c r="B65" s="1" t="s">
        <v>105</v>
      </c>
      <c r="C65" s="1">
        <v>64</v>
      </c>
      <c r="D65" s="1" t="s">
        <v>104</v>
      </c>
      <c r="E65" s="1"/>
      <c r="F65" s="1"/>
      <c r="G65" s="1"/>
      <c r="H65" s="1">
        <v>4</v>
      </c>
      <c r="I65" s="1">
        <v>5176</v>
      </c>
      <c r="J65" s="1">
        <v>5774</v>
      </c>
      <c r="K65" s="1">
        <v>3503</v>
      </c>
      <c r="L65" s="1">
        <v>58.845999999999997</v>
      </c>
      <c r="M65" s="1">
        <v>0.66100000000000003</v>
      </c>
      <c r="N65" s="1">
        <v>0.12</v>
      </c>
      <c r="O65" s="1">
        <v>1.9943999999999999E-3</v>
      </c>
      <c r="P65" s="1">
        <v>-5.3659999999999997</v>
      </c>
    </row>
    <row r="66" spans="1:16" ht="12.75" customHeight="1">
      <c r="A66" s="1" t="s">
        <v>70</v>
      </c>
      <c r="B66" s="1" t="s">
        <v>106</v>
      </c>
      <c r="C66" s="1">
        <v>65</v>
      </c>
      <c r="D66" s="1" t="s">
        <v>107</v>
      </c>
      <c r="E66" s="1"/>
      <c r="F66" s="1"/>
      <c r="G66" s="1"/>
      <c r="H66" s="1">
        <v>4</v>
      </c>
      <c r="I66" s="1">
        <v>7789</v>
      </c>
      <c r="J66" s="1">
        <v>8680</v>
      </c>
      <c r="K66" s="1">
        <v>5219</v>
      </c>
      <c r="L66" s="1">
        <v>92.287999999999997</v>
      </c>
      <c r="M66" s="1">
        <v>1.0369999999999999</v>
      </c>
      <c r="N66" s="1">
        <v>0.187</v>
      </c>
      <c r="O66" s="1">
        <v>1.9764000000000001E-3</v>
      </c>
      <c r="P66" s="1">
        <v>-14.374000000000001</v>
      </c>
    </row>
    <row r="67" spans="1:16" ht="12.75" customHeight="1">
      <c r="A67" s="1" t="s">
        <v>70</v>
      </c>
      <c r="B67" s="1" t="s">
        <v>108</v>
      </c>
      <c r="C67" s="1">
        <v>66</v>
      </c>
      <c r="D67" s="1" t="s">
        <v>107</v>
      </c>
      <c r="E67" s="1"/>
      <c r="F67" s="1"/>
      <c r="G67" s="1"/>
      <c r="H67" s="1">
        <v>4</v>
      </c>
      <c r="I67" s="1">
        <v>5179</v>
      </c>
      <c r="J67" s="1">
        <v>5775</v>
      </c>
      <c r="K67" s="1">
        <v>3474</v>
      </c>
      <c r="L67" s="1">
        <v>59.076000000000001</v>
      </c>
      <c r="M67" s="1">
        <v>0.66400000000000003</v>
      </c>
      <c r="N67" s="1">
        <v>0.12</v>
      </c>
      <c r="O67" s="1">
        <v>1.9769000000000002E-3</v>
      </c>
      <c r="P67" s="1">
        <v>-14.118</v>
      </c>
    </row>
    <row r="68" spans="1:16" ht="12.75" customHeight="1">
      <c r="A68" s="1" t="s">
        <v>70</v>
      </c>
      <c r="B68" s="1" t="s">
        <v>109</v>
      </c>
      <c r="C68" s="1">
        <v>67</v>
      </c>
      <c r="D68" s="1" t="s">
        <v>110</v>
      </c>
      <c r="E68" s="1"/>
      <c r="F68" s="1"/>
      <c r="G68" s="1"/>
      <c r="H68" s="1">
        <v>4</v>
      </c>
      <c r="I68" s="1">
        <v>4942</v>
      </c>
      <c r="J68" s="1">
        <v>5513</v>
      </c>
      <c r="K68" s="1">
        <v>3322</v>
      </c>
      <c r="L68" s="1">
        <v>55.912999999999997</v>
      </c>
      <c r="M68" s="1">
        <v>0.628</v>
      </c>
      <c r="N68" s="1">
        <v>0.113</v>
      </c>
      <c r="O68" s="1">
        <v>1.9807000000000002E-3</v>
      </c>
      <c r="P68" s="1">
        <v>-12.234999999999999</v>
      </c>
    </row>
    <row r="69" spans="1:16" ht="12.75" customHeight="1">
      <c r="A69" s="1" t="s">
        <v>70</v>
      </c>
      <c r="B69" s="1" t="s">
        <v>111</v>
      </c>
      <c r="C69" s="1">
        <v>68</v>
      </c>
      <c r="D69" s="1" t="s">
        <v>110</v>
      </c>
      <c r="E69" s="1"/>
      <c r="F69" s="1"/>
      <c r="G69" s="1"/>
      <c r="H69" s="1">
        <v>4</v>
      </c>
      <c r="I69" s="1">
        <v>4896</v>
      </c>
      <c r="J69" s="1">
        <v>5461</v>
      </c>
      <c r="K69" s="1">
        <v>3291</v>
      </c>
      <c r="L69" s="1">
        <v>55.691000000000003</v>
      </c>
      <c r="M69" s="1">
        <v>0.626</v>
      </c>
      <c r="N69" s="1">
        <v>0.113</v>
      </c>
      <c r="O69" s="1">
        <v>1.9805999999999999E-3</v>
      </c>
      <c r="P69" s="1">
        <v>-12.269</v>
      </c>
    </row>
    <row r="70" spans="1:16" ht="12.75" customHeight="1">
      <c r="A70" s="1" t="s">
        <v>70</v>
      </c>
      <c r="B70" s="1" t="s">
        <v>112</v>
      </c>
      <c r="C70" s="1">
        <v>69</v>
      </c>
      <c r="D70" s="1" t="s">
        <v>113</v>
      </c>
      <c r="E70" s="1"/>
      <c r="F70" s="1"/>
      <c r="G70" s="1"/>
      <c r="H70" s="1">
        <v>4</v>
      </c>
      <c r="I70" s="1">
        <v>5030</v>
      </c>
      <c r="J70" s="1">
        <v>5611</v>
      </c>
      <c r="K70" s="1">
        <v>3398</v>
      </c>
      <c r="L70" s="1">
        <v>57.155999999999999</v>
      </c>
      <c r="M70" s="1">
        <v>0.64200000000000002</v>
      </c>
      <c r="N70" s="1">
        <v>0.11600000000000001</v>
      </c>
      <c r="O70" s="1">
        <v>1.9903999999999998E-3</v>
      </c>
      <c r="P70" s="1">
        <v>-7.3840000000000003</v>
      </c>
    </row>
    <row r="71" spans="1:16" ht="12.75" customHeight="1">
      <c r="A71" s="1" t="s">
        <v>70</v>
      </c>
      <c r="B71" s="1" t="s">
        <v>114</v>
      </c>
      <c r="C71" s="1">
        <v>70</v>
      </c>
      <c r="D71" s="1" t="s">
        <v>113</v>
      </c>
      <c r="E71" s="1"/>
      <c r="F71" s="1"/>
      <c r="G71" s="1"/>
      <c r="H71" s="1">
        <v>4</v>
      </c>
      <c r="I71" s="1">
        <v>4984</v>
      </c>
      <c r="J71" s="1">
        <v>5559</v>
      </c>
      <c r="K71" s="1">
        <v>3367</v>
      </c>
      <c r="L71" s="1">
        <v>56.546999999999997</v>
      </c>
      <c r="M71" s="1">
        <v>0.63500000000000001</v>
      </c>
      <c r="N71" s="1">
        <v>0.115</v>
      </c>
      <c r="O71" s="1">
        <v>1.9903E-3</v>
      </c>
      <c r="P71" s="1">
        <v>-7.4169999999999998</v>
      </c>
    </row>
    <row r="72" spans="1:16" ht="12.75" customHeight="1">
      <c r="A72" s="1" t="s">
        <v>70</v>
      </c>
      <c r="B72" s="1" t="s">
        <v>115</v>
      </c>
      <c r="C72" s="1">
        <v>71</v>
      </c>
      <c r="D72" s="1" t="s">
        <v>20</v>
      </c>
      <c r="E72" s="1"/>
      <c r="F72" s="1"/>
      <c r="G72" s="1"/>
      <c r="H72" s="1">
        <v>4</v>
      </c>
      <c r="I72" s="1">
        <v>5078</v>
      </c>
      <c r="J72" s="1">
        <v>5665</v>
      </c>
      <c r="K72" s="1">
        <v>3440</v>
      </c>
      <c r="L72" s="1">
        <v>57.892000000000003</v>
      </c>
      <c r="M72" s="1">
        <v>0.65100000000000002</v>
      </c>
      <c r="N72" s="1">
        <v>0.11799999999999999</v>
      </c>
      <c r="O72" s="1">
        <v>1.9962999999999999E-3</v>
      </c>
      <c r="P72" s="1">
        <v>-4.423</v>
      </c>
    </row>
    <row r="73" spans="1:16" ht="12.75" customHeight="1">
      <c r="A73" s="1" t="s">
        <v>70</v>
      </c>
      <c r="B73" s="1" t="s">
        <v>116</v>
      </c>
      <c r="C73" s="1">
        <v>72</v>
      </c>
      <c r="D73" s="1" t="s">
        <v>20</v>
      </c>
      <c r="E73" s="1"/>
      <c r="F73" s="1"/>
      <c r="G73" s="1"/>
      <c r="H73" s="1">
        <v>4</v>
      </c>
      <c r="I73" s="1">
        <v>4974</v>
      </c>
      <c r="J73" s="1">
        <v>5549</v>
      </c>
      <c r="K73" s="1">
        <v>3369</v>
      </c>
      <c r="L73" s="1">
        <v>56.366999999999997</v>
      </c>
      <c r="M73" s="1">
        <v>0.63300000000000001</v>
      </c>
      <c r="N73" s="1">
        <v>0.115</v>
      </c>
      <c r="O73" s="1">
        <v>1.9959999999999999E-3</v>
      </c>
      <c r="P73" s="1">
        <v>-4.5869999999999997</v>
      </c>
    </row>
    <row r="74" spans="1:16" ht="12.75" customHeight="1">
      <c r="A74" s="1" t="s">
        <v>70</v>
      </c>
      <c r="B74" s="1" t="s">
        <v>117</v>
      </c>
      <c r="C74" s="1">
        <v>73</v>
      </c>
      <c r="D74" s="1" t="s">
        <v>118</v>
      </c>
      <c r="E74" s="1"/>
      <c r="F74" s="1"/>
      <c r="G74" s="1"/>
      <c r="H74" s="1">
        <v>4</v>
      </c>
      <c r="I74" s="1">
        <v>5033</v>
      </c>
      <c r="J74" s="1">
        <v>5615</v>
      </c>
      <c r="K74" s="1">
        <v>3416</v>
      </c>
      <c r="L74" s="1">
        <v>57.527000000000001</v>
      </c>
      <c r="M74" s="1">
        <v>0.64700000000000002</v>
      </c>
      <c r="N74" s="1">
        <v>0.11799999999999999</v>
      </c>
      <c r="O74" s="1">
        <v>2.0000999999999999E-3</v>
      </c>
      <c r="P74" s="1">
        <v>-2.5449999999999999</v>
      </c>
    </row>
    <row r="75" spans="1:16" ht="12.75" customHeight="1">
      <c r="A75" s="1" t="s">
        <v>70</v>
      </c>
      <c r="B75" s="1" t="s">
        <v>119</v>
      </c>
      <c r="C75" s="1">
        <v>74</v>
      </c>
      <c r="D75" s="1" t="s">
        <v>118</v>
      </c>
      <c r="E75" s="1"/>
      <c r="F75" s="1"/>
      <c r="G75" s="1"/>
      <c r="H75" s="1">
        <v>4</v>
      </c>
      <c r="I75" s="1">
        <v>4923</v>
      </c>
      <c r="J75" s="1">
        <v>5492</v>
      </c>
      <c r="K75" s="1">
        <v>3340</v>
      </c>
      <c r="L75" s="1">
        <v>56.091999999999999</v>
      </c>
      <c r="M75" s="1">
        <v>0.63</v>
      </c>
      <c r="N75" s="1">
        <v>0.115</v>
      </c>
      <c r="O75" s="1">
        <v>1.9995E-3</v>
      </c>
      <c r="P75" s="1">
        <v>-2.8380000000000001</v>
      </c>
    </row>
    <row r="76" spans="1:16" ht="12.75" customHeight="1">
      <c r="A76" s="1" t="s">
        <v>70</v>
      </c>
      <c r="B76" s="1" t="s">
        <v>122</v>
      </c>
      <c r="C76" s="1">
        <v>76</v>
      </c>
      <c r="D76" s="1" t="s">
        <v>121</v>
      </c>
      <c r="E76" s="1"/>
      <c r="F76" s="1"/>
      <c r="G76" s="1"/>
      <c r="H76" s="1">
        <v>4</v>
      </c>
      <c r="I76" s="1">
        <v>4928</v>
      </c>
      <c r="J76" s="1">
        <v>5497</v>
      </c>
      <c r="K76" s="1">
        <v>3355</v>
      </c>
      <c r="L76" s="1">
        <v>55.871000000000002</v>
      </c>
      <c r="M76" s="1">
        <v>0.628</v>
      </c>
      <c r="N76" s="1">
        <v>0.115</v>
      </c>
      <c r="O76" s="1">
        <v>2.0056000000000002E-3</v>
      </c>
      <c r="P76" s="1">
        <v>0.19900000000000001</v>
      </c>
    </row>
    <row r="77" spans="1:16" ht="12.75" customHeight="1">
      <c r="A77" s="1" t="s">
        <v>70</v>
      </c>
      <c r="B77" s="1" t="s">
        <v>123</v>
      </c>
      <c r="C77" s="1">
        <v>77</v>
      </c>
      <c r="D77" s="1" t="s">
        <v>124</v>
      </c>
      <c r="E77" s="1"/>
      <c r="F77" s="1"/>
      <c r="G77" s="1"/>
      <c r="H77" s="1">
        <v>4</v>
      </c>
      <c r="I77" s="1">
        <v>5037</v>
      </c>
      <c r="J77" s="1">
        <v>5619</v>
      </c>
      <c r="K77" s="1">
        <v>3438</v>
      </c>
      <c r="L77" s="1">
        <v>56.567</v>
      </c>
      <c r="M77" s="1">
        <v>0.63600000000000001</v>
      </c>
      <c r="N77" s="1">
        <v>0.11600000000000001</v>
      </c>
      <c r="O77" s="1">
        <v>2.0113000000000002E-3</v>
      </c>
      <c r="P77" s="1">
        <v>3.0579999999999998</v>
      </c>
    </row>
    <row r="78" spans="1:16" ht="12.75" customHeight="1">
      <c r="A78" s="1" t="s">
        <v>70</v>
      </c>
      <c r="B78" s="1" t="s">
        <v>125</v>
      </c>
      <c r="C78" s="1">
        <v>78</v>
      </c>
      <c r="D78" s="1" t="s">
        <v>124</v>
      </c>
      <c r="E78" s="1"/>
      <c r="F78" s="1"/>
      <c r="G78" s="1"/>
      <c r="H78" s="1">
        <v>4</v>
      </c>
      <c r="I78" s="1">
        <v>4940</v>
      </c>
      <c r="J78" s="1">
        <v>5512</v>
      </c>
      <c r="K78" s="1">
        <v>3374</v>
      </c>
      <c r="L78" s="1">
        <v>56.207000000000001</v>
      </c>
      <c r="M78" s="1">
        <v>0.63200000000000001</v>
      </c>
      <c r="N78" s="1">
        <v>0.11600000000000001</v>
      </c>
      <c r="O78" s="1">
        <v>2.0116000000000001E-3</v>
      </c>
      <c r="P78" s="1">
        <v>3.202</v>
      </c>
    </row>
    <row r="79" spans="1:16" ht="12.75" customHeight="1">
      <c r="A79" s="1" t="s">
        <v>70</v>
      </c>
      <c r="B79" s="1" t="s">
        <v>126</v>
      </c>
      <c r="C79" s="1">
        <v>79</v>
      </c>
      <c r="D79" s="1" t="s">
        <v>127</v>
      </c>
      <c r="E79" s="1"/>
      <c r="F79" s="1"/>
      <c r="G79" s="1"/>
      <c r="H79" s="1">
        <v>4</v>
      </c>
      <c r="I79" s="1">
        <v>5067</v>
      </c>
      <c r="J79" s="1">
        <v>5652</v>
      </c>
      <c r="K79" s="1">
        <v>3444</v>
      </c>
      <c r="L79" s="1">
        <v>57.152000000000001</v>
      </c>
      <c r="M79" s="1">
        <v>0.64200000000000002</v>
      </c>
      <c r="N79" s="1">
        <v>0.11700000000000001</v>
      </c>
      <c r="O79" s="1">
        <v>2.0026000000000002E-3</v>
      </c>
      <c r="P79" s="1">
        <v>-1.319</v>
      </c>
    </row>
    <row r="80" spans="1:16" ht="12.75" customHeight="1">
      <c r="A80" s="1" t="s">
        <v>70</v>
      </c>
      <c r="B80" s="1" t="s">
        <v>128</v>
      </c>
      <c r="C80" s="1">
        <v>80</v>
      </c>
      <c r="D80" s="1" t="s">
        <v>127</v>
      </c>
      <c r="E80" s="1"/>
      <c r="F80" s="1"/>
      <c r="G80" s="1"/>
      <c r="H80" s="1">
        <v>4</v>
      </c>
      <c r="I80" s="1">
        <v>5050</v>
      </c>
      <c r="J80" s="1">
        <v>5634</v>
      </c>
      <c r="K80" s="1">
        <v>3433</v>
      </c>
      <c r="L80" s="1">
        <v>57.534999999999997</v>
      </c>
      <c r="M80" s="1">
        <v>0.64700000000000002</v>
      </c>
      <c r="N80" s="1">
        <v>0.11799999999999999</v>
      </c>
      <c r="O80" s="1">
        <v>2.0037000000000002E-3</v>
      </c>
      <c r="P80" s="1">
        <v>-0.76400000000000001</v>
      </c>
    </row>
    <row r="81" spans="1:16" ht="12.75" customHeight="1">
      <c r="A81" s="1" t="s">
        <v>70</v>
      </c>
      <c r="B81" s="1" t="s">
        <v>129</v>
      </c>
      <c r="C81" s="1">
        <v>81</v>
      </c>
      <c r="D81" s="1" t="s">
        <v>130</v>
      </c>
      <c r="E81" s="1"/>
      <c r="F81" s="1"/>
      <c r="G81" s="1"/>
      <c r="H81" s="1">
        <v>4</v>
      </c>
      <c r="I81" s="1">
        <v>5092</v>
      </c>
      <c r="J81" s="1">
        <v>5680</v>
      </c>
      <c r="K81" s="1">
        <v>3455</v>
      </c>
      <c r="L81" s="1">
        <v>58.149000000000001</v>
      </c>
      <c r="M81" s="1">
        <v>0.65400000000000003</v>
      </c>
      <c r="N81" s="1">
        <v>0.11899999999999999</v>
      </c>
      <c r="O81" s="1">
        <v>1.9997000000000001E-3</v>
      </c>
      <c r="P81" s="1">
        <v>-2.7530000000000001</v>
      </c>
    </row>
    <row r="82" spans="1:16" ht="12.75" customHeight="1">
      <c r="A82" s="1" t="s">
        <v>70</v>
      </c>
      <c r="B82" s="1" t="s">
        <v>131</v>
      </c>
      <c r="C82" s="1">
        <v>82</v>
      </c>
      <c r="D82" s="1" t="s">
        <v>130</v>
      </c>
      <c r="E82" s="1"/>
      <c r="F82" s="1"/>
      <c r="G82" s="1"/>
      <c r="H82" s="1">
        <v>4</v>
      </c>
      <c r="I82" s="1">
        <v>5055</v>
      </c>
      <c r="J82" s="1">
        <v>5639</v>
      </c>
      <c r="K82" s="1">
        <v>3429</v>
      </c>
      <c r="L82" s="1">
        <v>56.972999999999999</v>
      </c>
      <c r="M82" s="1">
        <v>0.64</v>
      </c>
      <c r="N82" s="1">
        <v>0.11700000000000001</v>
      </c>
      <c r="O82" s="1">
        <v>1.9986000000000001E-3</v>
      </c>
      <c r="P82" s="1">
        <v>-3.2890000000000001</v>
      </c>
    </row>
    <row r="83" spans="1:16" ht="12.75" customHeight="1">
      <c r="A83" s="1" t="s">
        <v>70</v>
      </c>
      <c r="B83" s="1" t="s">
        <v>132</v>
      </c>
      <c r="C83" s="1">
        <v>83</v>
      </c>
      <c r="D83" s="1" t="s">
        <v>20</v>
      </c>
      <c r="E83" s="1"/>
      <c r="F83" s="1"/>
      <c r="G83" s="1"/>
      <c r="H83" s="1">
        <v>4</v>
      </c>
      <c r="I83" s="1">
        <v>4988</v>
      </c>
      <c r="J83" s="1">
        <v>5563</v>
      </c>
      <c r="K83" s="1">
        <v>3379</v>
      </c>
      <c r="L83" s="1">
        <v>55.917999999999999</v>
      </c>
      <c r="M83" s="1">
        <v>0.628</v>
      </c>
      <c r="N83" s="1">
        <v>0.114</v>
      </c>
      <c r="O83" s="1">
        <v>1.9959000000000001E-3</v>
      </c>
      <c r="P83" s="1">
        <v>-4.641</v>
      </c>
    </row>
    <row r="84" spans="1:16" ht="12.75" customHeight="1">
      <c r="A84" s="1" t="s">
        <v>70</v>
      </c>
      <c r="B84" s="1" t="s">
        <v>133</v>
      </c>
      <c r="C84" s="1">
        <v>84</v>
      </c>
      <c r="D84" s="1" t="s">
        <v>20</v>
      </c>
      <c r="E84" s="1"/>
      <c r="F84" s="1"/>
      <c r="G84" s="1"/>
      <c r="H84" s="1">
        <v>4</v>
      </c>
      <c r="I84" s="1">
        <v>5113</v>
      </c>
      <c r="J84" s="1">
        <v>5703</v>
      </c>
      <c r="K84" s="1">
        <v>3463</v>
      </c>
      <c r="L84" s="1">
        <v>57.615000000000002</v>
      </c>
      <c r="M84" s="1">
        <v>0.64700000000000002</v>
      </c>
      <c r="N84" s="1">
        <v>0.11799999999999999</v>
      </c>
      <c r="O84" s="1">
        <v>1.9962000000000001E-3</v>
      </c>
      <c r="P84" s="1">
        <v>-4.5</v>
      </c>
    </row>
    <row r="85" spans="1:16" ht="12.75" customHeight="1">
      <c r="A85" s="1" t="s">
        <v>70</v>
      </c>
      <c r="B85" s="1" t="s">
        <v>134</v>
      </c>
      <c r="C85" s="1">
        <v>85</v>
      </c>
      <c r="D85" s="1" t="s">
        <v>135</v>
      </c>
      <c r="E85" s="1"/>
      <c r="F85" s="1"/>
      <c r="G85" s="1"/>
      <c r="H85" s="1">
        <v>4</v>
      </c>
      <c r="I85" s="1">
        <v>5131</v>
      </c>
      <c r="J85" s="1">
        <v>5723</v>
      </c>
      <c r="K85" s="1">
        <v>3469</v>
      </c>
      <c r="L85" s="1">
        <v>57.713000000000001</v>
      </c>
      <c r="M85" s="1">
        <v>0.64900000000000002</v>
      </c>
      <c r="N85" s="1">
        <v>0.11799999999999999</v>
      </c>
      <c r="O85" s="1">
        <v>1.9924000000000001E-3</v>
      </c>
      <c r="P85" s="1">
        <v>-6.375</v>
      </c>
    </row>
    <row r="86" spans="1:16" ht="12.75" customHeight="1">
      <c r="A86" s="1" t="s">
        <v>70</v>
      </c>
      <c r="B86" s="1" t="s">
        <v>136</v>
      </c>
      <c r="C86" s="1">
        <v>86</v>
      </c>
      <c r="D86" s="1" t="s">
        <v>135</v>
      </c>
      <c r="E86" s="1"/>
      <c r="F86" s="1"/>
      <c r="G86" s="1"/>
      <c r="H86" s="1">
        <v>4</v>
      </c>
      <c r="I86" s="1">
        <v>5294</v>
      </c>
      <c r="J86" s="1">
        <v>5905</v>
      </c>
      <c r="K86" s="1">
        <v>3579</v>
      </c>
      <c r="L86" s="1">
        <v>60.994</v>
      </c>
      <c r="M86" s="1">
        <v>0.68600000000000005</v>
      </c>
      <c r="N86" s="1">
        <v>0.124</v>
      </c>
      <c r="O86" s="1">
        <v>1.9938999999999998E-3</v>
      </c>
      <c r="P86" s="1">
        <v>-5.6429999999999998</v>
      </c>
    </row>
    <row r="87" spans="1:16" ht="12.75" customHeight="1">
      <c r="A87" s="1" t="s">
        <v>70</v>
      </c>
      <c r="B87" s="1" t="s">
        <v>137</v>
      </c>
      <c r="C87" s="1">
        <v>87</v>
      </c>
      <c r="D87" s="1" t="s">
        <v>138</v>
      </c>
      <c r="E87" s="1"/>
      <c r="F87" s="1"/>
      <c r="G87" s="1"/>
      <c r="H87" s="1">
        <v>4</v>
      </c>
      <c r="I87" s="1">
        <v>4867</v>
      </c>
      <c r="J87" s="1">
        <v>5430</v>
      </c>
      <c r="K87" s="1">
        <v>3298</v>
      </c>
      <c r="L87" s="1">
        <v>55.3</v>
      </c>
      <c r="M87" s="1">
        <v>0.621</v>
      </c>
      <c r="N87" s="1">
        <v>0.113</v>
      </c>
      <c r="O87" s="1">
        <v>1.9962999999999999E-3</v>
      </c>
      <c r="P87" s="1">
        <v>-4.4370000000000003</v>
      </c>
    </row>
    <row r="88" spans="1:16" ht="12.75" customHeight="1">
      <c r="A88" s="1" t="s">
        <v>70</v>
      </c>
      <c r="B88" s="1" t="s">
        <v>139</v>
      </c>
      <c r="C88" s="1">
        <v>88</v>
      </c>
      <c r="D88" s="1" t="s">
        <v>138</v>
      </c>
      <c r="E88" s="1"/>
      <c r="F88" s="1"/>
      <c r="G88" s="1"/>
      <c r="H88" s="1">
        <v>4</v>
      </c>
      <c r="I88" s="1">
        <v>4873</v>
      </c>
      <c r="J88" s="1">
        <v>5437</v>
      </c>
      <c r="K88" s="1">
        <v>3302</v>
      </c>
      <c r="L88" s="1">
        <v>55.735999999999997</v>
      </c>
      <c r="M88" s="1">
        <v>0.626</v>
      </c>
      <c r="N88" s="1">
        <v>0.114</v>
      </c>
      <c r="O88" s="1">
        <v>1.9970000000000001E-3</v>
      </c>
      <c r="P88" s="1">
        <v>-4.085</v>
      </c>
    </row>
    <row r="89" spans="1:16" ht="12.75" customHeight="1">
      <c r="A89" s="1" t="s">
        <v>70</v>
      </c>
      <c r="B89" s="1" t="s">
        <v>140</v>
      </c>
      <c r="C89" s="1">
        <v>89</v>
      </c>
      <c r="D89" s="1" t="s">
        <v>141</v>
      </c>
      <c r="E89" s="1"/>
      <c r="F89" s="1"/>
      <c r="G89" s="1"/>
      <c r="H89" s="1">
        <v>4</v>
      </c>
      <c r="I89" s="1">
        <v>5026</v>
      </c>
      <c r="J89" s="1">
        <v>5605</v>
      </c>
      <c r="K89" s="1">
        <v>3382</v>
      </c>
      <c r="L89" s="1">
        <v>56.639000000000003</v>
      </c>
      <c r="M89" s="1">
        <v>0.63600000000000001</v>
      </c>
      <c r="N89" s="1">
        <v>0.115</v>
      </c>
      <c r="O89" s="1">
        <v>1.9827999999999998E-3</v>
      </c>
      <c r="P89" s="1">
        <v>-11.15</v>
      </c>
    </row>
    <row r="90" spans="1:16" ht="12.75" customHeight="1">
      <c r="A90" s="1" t="s">
        <v>70</v>
      </c>
      <c r="B90" s="1" t="s">
        <v>142</v>
      </c>
      <c r="C90" s="1">
        <v>90</v>
      </c>
      <c r="D90" s="1" t="s">
        <v>141</v>
      </c>
      <c r="E90" s="1"/>
      <c r="F90" s="1"/>
      <c r="G90" s="1"/>
      <c r="H90" s="1">
        <v>4</v>
      </c>
      <c r="I90" s="1">
        <v>5016</v>
      </c>
      <c r="J90" s="1">
        <v>5595</v>
      </c>
      <c r="K90" s="1">
        <v>3376</v>
      </c>
      <c r="L90" s="1">
        <v>57.122999999999998</v>
      </c>
      <c r="M90" s="1">
        <v>0.64200000000000002</v>
      </c>
      <c r="N90" s="1">
        <v>0.11600000000000001</v>
      </c>
      <c r="O90" s="1">
        <v>1.9837000000000001E-3</v>
      </c>
      <c r="P90" s="1">
        <v>-10.73</v>
      </c>
    </row>
    <row r="91" spans="1:16" ht="12.75" customHeight="1">
      <c r="A91" s="1" t="s">
        <v>70</v>
      </c>
      <c r="B91" s="1" t="s">
        <v>143</v>
      </c>
      <c r="C91" s="1">
        <v>91</v>
      </c>
      <c r="D91" s="1" t="s">
        <v>144</v>
      </c>
      <c r="E91" s="1"/>
      <c r="F91" s="1"/>
      <c r="G91" s="1"/>
      <c r="H91" s="1">
        <v>4</v>
      </c>
      <c r="I91" s="1">
        <v>4987</v>
      </c>
      <c r="J91" s="1">
        <v>5562</v>
      </c>
      <c r="K91" s="1">
        <v>3359</v>
      </c>
      <c r="L91" s="1">
        <v>57.152000000000001</v>
      </c>
      <c r="M91" s="1">
        <v>0.64200000000000002</v>
      </c>
      <c r="N91" s="1">
        <v>0.11600000000000001</v>
      </c>
      <c r="O91" s="1">
        <v>1.9851000000000001E-3</v>
      </c>
      <c r="P91" s="1">
        <v>-10.010999999999999</v>
      </c>
    </row>
    <row r="92" spans="1:16" ht="12.75" customHeight="1">
      <c r="A92" s="1" t="s">
        <v>70</v>
      </c>
      <c r="B92" s="1" t="s">
        <v>145</v>
      </c>
      <c r="C92" s="1">
        <v>92</v>
      </c>
      <c r="D92" s="1" t="s">
        <v>144</v>
      </c>
      <c r="E92" s="1"/>
      <c r="F92" s="1"/>
      <c r="G92" s="1"/>
      <c r="H92" s="1">
        <v>4</v>
      </c>
      <c r="I92" s="1">
        <v>4897</v>
      </c>
      <c r="J92" s="1">
        <v>5462</v>
      </c>
      <c r="K92" s="1">
        <v>3299</v>
      </c>
      <c r="L92" s="1">
        <v>54.978999999999999</v>
      </c>
      <c r="M92" s="1">
        <v>0.61799999999999999</v>
      </c>
      <c r="N92" s="1">
        <v>0.112</v>
      </c>
      <c r="O92" s="1">
        <v>1.9843999999999999E-3</v>
      </c>
      <c r="P92" s="1">
        <v>-10.375999999999999</v>
      </c>
    </row>
    <row r="93" spans="1:16" ht="12.75" customHeight="1">
      <c r="A93" s="1" t="s">
        <v>70</v>
      </c>
      <c r="B93" s="1" t="s">
        <v>146</v>
      </c>
      <c r="C93" s="1">
        <v>93</v>
      </c>
      <c r="D93" s="1" t="s">
        <v>147</v>
      </c>
      <c r="E93" s="1"/>
      <c r="F93" s="1"/>
      <c r="G93" s="1"/>
      <c r="H93" s="1">
        <v>4</v>
      </c>
      <c r="I93" s="1">
        <v>4952</v>
      </c>
      <c r="J93" s="1">
        <v>5524</v>
      </c>
      <c r="K93" s="1">
        <v>3346</v>
      </c>
      <c r="L93" s="1">
        <v>56.192</v>
      </c>
      <c r="M93" s="1">
        <v>0.63200000000000001</v>
      </c>
      <c r="N93" s="1">
        <v>0.115</v>
      </c>
      <c r="O93" s="1">
        <v>1.9916999999999999E-3</v>
      </c>
      <c r="P93" s="1">
        <v>-6.7309999999999999</v>
      </c>
    </row>
    <row r="94" spans="1:16" ht="12.75" customHeight="1">
      <c r="A94" s="1" t="s">
        <v>70</v>
      </c>
      <c r="B94" s="1" t="s">
        <v>148</v>
      </c>
      <c r="C94" s="1">
        <v>94</v>
      </c>
      <c r="D94" s="1" t="s">
        <v>147</v>
      </c>
      <c r="E94" s="1"/>
      <c r="F94" s="1"/>
      <c r="G94" s="1"/>
      <c r="H94" s="1">
        <v>4</v>
      </c>
      <c r="I94" s="1">
        <v>5023</v>
      </c>
      <c r="J94" s="1">
        <v>5603</v>
      </c>
      <c r="K94" s="1">
        <v>3395</v>
      </c>
      <c r="L94" s="1">
        <v>57.573</v>
      </c>
      <c r="M94" s="1">
        <v>0.64700000000000002</v>
      </c>
      <c r="N94" s="1">
        <v>0.11700000000000001</v>
      </c>
      <c r="O94" s="1">
        <v>1.9926000000000002E-3</v>
      </c>
      <c r="P94" s="1">
        <v>-6.3079999999999998</v>
      </c>
    </row>
    <row r="95" spans="1:16" ht="12.75" customHeight="1">
      <c r="A95" s="1" t="s">
        <v>70</v>
      </c>
      <c r="B95" s="1" t="s">
        <v>149</v>
      </c>
      <c r="C95" s="1">
        <v>95</v>
      </c>
      <c r="D95" s="1" t="s">
        <v>20</v>
      </c>
      <c r="E95" s="1"/>
      <c r="F95" s="1"/>
      <c r="G95" s="1"/>
      <c r="H95" s="1">
        <v>4</v>
      </c>
      <c r="I95" s="1">
        <v>4990</v>
      </c>
      <c r="J95" s="1">
        <v>5567</v>
      </c>
      <c r="K95" s="1">
        <v>3380</v>
      </c>
      <c r="L95" s="1">
        <v>56.597000000000001</v>
      </c>
      <c r="M95" s="1">
        <v>0.63600000000000001</v>
      </c>
      <c r="N95" s="1">
        <v>0.11600000000000001</v>
      </c>
      <c r="O95" s="1">
        <v>1.9959000000000001E-3</v>
      </c>
      <c r="P95" s="1">
        <v>-4.6609999999999996</v>
      </c>
    </row>
    <row r="96" spans="1:16" ht="12.75" customHeight="1">
      <c r="A96" s="1" t="s">
        <v>70</v>
      </c>
      <c r="B96" s="1" t="s">
        <v>150</v>
      </c>
      <c r="C96" s="1">
        <v>96</v>
      </c>
      <c r="D96" s="1" t="s">
        <v>20</v>
      </c>
      <c r="E96" s="1"/>
      <c r="F96" s="1"/>
      <c r="G96" s="1"/>
      <c r="H96" s="1">
        <v>4</v>
      </c>
      <c r="I96" s="1">
        <v>5048</v>
      </c>
      <c r="J96" s="1">
        <v>5632</v>
      </c>
      <c r="K96" s="1">
        <v>3419</v>
      </c>
      <c r="L96" s="1">
        <v>57.808999999999997</v>
      </c>
      <c r="M96" s="1">
        <v>0.65</v>
      </c>
      <c r="N96" s="1">
        <v>0.11799999999999999</v>
      </c>
      <c r="O96" s="1">
        <v>1.9964000000000002E-3</v>
      </c>
      <c r="P96" s="1">
        <v>-4.4059999999999997</v>
      </c>
    </row>
    <row r="97" spans="1:16" ht="12.75" customHeight="1">
      <c r="A97" s="1" t="s">
        <v>70</v>
      </c>
      <c r="B97" s="1" t="s">
        <v>151</v>
      </c>
      <c r="C97" s="1">
        <v>97</v>
      </c>
      <c r="D97" s="1" t="s">
        <v>152</v>
      </c>
      <c r="E97" s="1"/>
      <c r="F97" s="1"/>
      <c r="G97" s="1"/>
      <c r="H97" s="1">
        <v>4</v>
      </c>
      <c r="I97" s="1">
        <v>4969</v>
      </c>
      <c r="J97" s="1">
        <v>5544</v>
      </c>
      <c r="K97" s="1">
        <v>3365</v>
      </c>
      <c r="L97" s="1">
        <v>57.14</v>
      </c>
      <c r="M97" s="1">
        <v>0.64200000000000002</v>
      </c>
      <c r="N97" s="1">
        <v>0.11700000000000001</v>
      </c>
      <c r="O97" s="1">
        <v>1.9954999999999999E-3</v>
      </c>
      <c r="P97" s="1">
        <v>-4.8230000000000004</v>
      </c>
    </row>
    <row r="98" spans="1:16" ht="12.75" customHeight="1">
      <c r="A98" s="1" t="s">
        <v>70</v>
      </c>
      <c r="B98" s="1" t="s">
        <v>153</v>
      </c>
      <c r="C98" s="1">
        <v>98</v>
      </c>
      <c r="D98" s="1" t="s">
        <v>152</v>
      </c>
      <c r="E98" s="1"/>
      <c r="F98" s="1"/>
      <c r="G98" s="1"/>
      <c r="H98" s="1">
        <v>4</v>
      </c>
      <c r="I98" s="1">
        <v>4950</v>
      </c>
      <c r="J98" s="1">
        <v>5522</v>
      </c>
      <c r="K98" s="1">
        <v>3352</v>
      </c>
      <c r="L98" s="1">
        <v>56.4</v>
      </c>
      <c r="M98" s="1">
        <v>0.63400000000000001</v>
      </c>
      <c r="N98" s="1">
        <v>0.115</v>
      </c>
      <c r="O98" s="1">
        <v>1.9954E-3</v>
      </c>
      <c r="P98" s="1">
        <v>-4.8789999999999996</v>
      </c>
    </row>
    <row r="99" spans="1:16" ht="12.75" customHeight="1">
      <c r="A99" s="1" t="s">
        <v>70</v>
      </c>
      <c r="B99" s="1" t="s">
        <v>154</v>
      </c>
      <c r="C99" s="1">
        <v>99</v>
      </c>
      <c r="D99" s="1" t="s">
        <v>155</v>
      </c>
      <c r="E99" s="1"/>
      <c r="F99" s="1"/>
      <c r="G99" s="1"/>
      <c r="H99" s="1">
        <v>4</v>
      </c>
      <c r="I99" s="1">
        <v>5043</v>
      </c>
      <c r="J99" s="1">
        <v>5626</v>
      </c>
      <c r="K99" s="1">
        <v>3416</v>
      </c>
      <c r="L99" s="1">
        <v>57.874000000000002</v>
      </c>
      <c r="M99" s="1">
        <v>0.65</v>
      </c>
      <c r="N99" s="1">
        <v>0.11799999999999999</v>
      </c>
      <c r="O99" s="1">
        <v>1.9970000000000001E-3</v>
      </c>
      <c r="P99" s="1">
        <v>-4.1029999999999998</v>
      </c>
    </row>
    <row r="100" spans="1:16" ht="12.75" customHeight="1">
      <c r="A100" s="1" t="s">
        <v>70</v>
      </c>
      <c r="B100" s="1" t="s">
        <v>156</v>
      </c>
      <c r="C100" s="1">
        <v>100</v>
      </c>
      <c r="D100" s="1" t="s">
        <v>155</v>
      </c>
      <c r="E100" s="1"/>
      <c r="F100" s="1"/>
      <c r="G100" s="1"/>
      <c r="H100" s="1">
        <v>4</v>
      </c>
      <c r="I100" s="1">
        <v>5015</v>
      </c>
      <c r="J100" s="1">
        <v>5595</v>
      </c>
      <c r="K100" s="1">
        <v>3398</v>
      </c>
      <c r="L100" s="1">
        <v>57.765000000000001</v>
      </c>
      <c r="M100" s="1">
        <v>0.64900000000000002</v>
      </c>
      <c r="N100" s="1">
        <v>0.11799999999999999</v>
      </c>
      <c r="O100" s="1">
        <v>1.9967000000000001E-3</v>
      </c>
      <c r="P100" s="1">
        <v>-4.2610000000000001</v>
      </c>
    </row>
    <row r="101" spans="1:16" ht="12.75" customHeight="1">
      <c r="A101" s="1" t="s">
        <v>70</v>
      </c>
      <c r="B101" s="1" t="s">
        <v>157</v>
      </c>
      <c r="C101" s="1">
        <v>101</v>
      </c>
      <c r="D101" s="1" t="s">
        <v>158</v>
      </c>
      <c r="E101" s="1"/>
      <c r="F101" s="1"/>
      <c r="G101" s="1"/>
      <c r="H101" s="1">
        <v>4</v>
      </c>
      <c r="I101" s="1">
        <v>5015</v>
      </c>
      <c r="J101" s="1">
        <v>5595</v>
      </c>
      <c r="K101" s="1">
        <v>3400</v>
      </c>
      <c r="L101" s="1">
        <v>57.975000000000001</v>
      </c>
      <c r="M101" s="1">
        <v>0.65200000000000002</v>
      </c>
      <c r="N101" s="1">
        <v>0.11899999999999999</v>
      </c>
      <c r="O101" s="1">
        <v>1.9978000000000001E-3</v>
      </c>
      <c r="P101" s="1">
        <v>-3.7109999999999999</v>
      </c>
    </row>
    <row r="102" spans="1:16" ht="12.75" customHeight="1">
      <c r="A102" s="1" t="s">
        <v>70</v>
      </c>
      <c r="B102" s="1" t="s">
        <v>159</v>
      </c>
      <c r="C102" s="1">
        <v>102</v>
      </c>
      <c r="D102" s="1" t="s">
        <v>158</v>
      </c>
      <c r="E102" s="1"/>
      <c r="F102" s="1"/>
      <c r="G102" s="1"/>
      <c r="H102" s="1">
        <v>4</v>
      </c>
      <c r="I102" s="1">
        <v>5042</v>
      </c>
      <c r="J102" s="1">
        <v>5625</v>
      </c>
      <c r="K102" s="1">
        <v>3417</v>
      </c>
      <c r="L102" s="1">
        <v>57.622</v>
      </c>
      <c r="M102" s="1">
        <v>0.64800000000000002</v>
      </c>
      <c r="N102" s="1">
        <v>0.11799999999999999</v>
      </c>
      <c r="O102" s="1">
        <v>1.9972000000000002E-3</v>
      </c>
      <c r="P102" s="1">
        <v>-4.008</v>
      </c>
    </row>
    <row r="103" spans="1:16" ht="12.75" customHeight="1">
      <c r="A103" s="1" t="s">
        <v>70</v>
      </c>
      <c r="B103" s="1" t="s">
        <v>160</v>
      </c>
      <c r="C103" s="1">
        <v>103</v>
      </c>
      <c r="D103" s="1" t="s">
        <v>161</v>
      </c>
      <c r="E103" s="1"/>
      <c r="F103" s="1"/>
      <c r="G103" s="1"/>
      <c r="H103" s="1">
        <v>4</v>
      </c>
      <c r="I103" s="1">
        <v>5402</v>
      </c>
      <c r="J103" s="1">
        <v>6026</v>
      </c>
      <c r="K103" s="1">
        <v>3664</v>
      </c>
      <c r="L103" s="1">
        <v>61.872</v>
      </c>
      <c r="M103" s="1">
        <v>0.69499999999999995</v>
      </c>
      <c r="N103" s="1">
        <v>0.127</v>
      </c>
      <c r="O103" s="1">
        <v>1.9992999999999999E-3</v>
      </c>
      <c r="P103" s="1">
        <v>-2.9590000000000001</v>
      </c>
    </row>
    <row r="104" spans="1:16" ht="12.75" customHeight="1">
      <c r="A104" s="1" t="s">
        <v>70</v>
      </c>
      <c r="B104" s="1" t="s">
        <v>162</v>
      </c>
      <c r="C104" s="1">
        <v>104</v>
      </c>
      <c r="D104" s="1" t="s">
        <v>161</v>
      </c>
      <c r="E104" s="1"/>
      <c r="F104" s="1"/>
      <c r="G104" s="1"/>
      <c r="H104" s="1">
        <v>4</v>
      </c>
      <c r="I104" s="1">
        <v>5068</v>
      </c>
      <c r="J104" s="1">
        <v>5654</v>
      </c>
      <c r="K104" s="1">
        <v>3439</v>
      </c>
      <c r="L104" s="1">
        <v>58.085000000000001</v>
      </c>
      <c r="M104" s="1">
        <v>0.65300000000000002</v>
      </c>
      <c r="N104" s="1">
        <v>0.11899999999999999</v>
      </c>
      <c r="O104" s="1">
        <v>1.9995E-3</v>
      </c>
      <c r="P104" s="1">
        <v>-2.8650000000000002</v>
      </c>
    </row>
    <row r="105" spans="1:16" ht="12.75" customHeight="1">
      <c r="A105" s="1" t="s">
        <v>70</v>
      </c>
      <c r="B105" s="1" t="s">
        <v>163</v>
      </c>
      <c r="C105" s="1">
        <v>105</v>
      </c>
      <c r="D105" s="1" t="s">
        <v>164</v>
      </c>
      <c r="E105" s="1"/>
      <c r="F105" s="1"/>
      <c r="G105" s="1"/>
      <c r="H105" s="1">
        <v>4</v>
      </c>
      <c r="I105" s="1">
        <v>5128</v>
      </c>
      <c r="J105" s="1">
        <v>5721</v>
      </c>
      <c r="K105" s="1">
        <v>3482</v>
      </c>
      <c r="L105" s="1">
        <v>58.753</v>
      </c>
      <c r="M105" s="1">
        <v>0.66</v>
      </c>
      <c r="N105" s="1">
        <v>0.12</v>
      </c>
      <c r="O105" s="1">
        <v>2.0010000000000002E-3</v>
      </c>
      <c r="P105" s="1">
        <v>-2.0859999999999999</v>
      </c>
    </row>
    <row r="106" spans="1:16" ht="12.75" customHeight="1">
      <c r="A106" s="1" t="s">
        <v>70</v>
      </c>
      <c r="B106" s="1" t="s">
        <v>165</v>
      </c>
      <c r="C106" s="1">
        <v>106</v>
      </c>
      <c r="D106" s="1" t="s">
        <v>164</v>
      </c>
      <c r="E106" s="1"/>
      <c r="F106" s="1"/>
      <c r="G106" s="1"/>
      <c r="H106" s="1">
        <v>4</v>
      </c>
      <c r="I106" s="1">
        <v>5105</v>
      </c>
      <c r="J106" s="1">
        <v>5695</v>
      </c>
      <c r="K106" s="1">
        <v>3467</v>
      </c>
      <c r="L106" s="1">
        <v>58.679000000000002</v>
      </c>
      <c r="M106" s="1">
        <v>0.65900000000000003</v>
      </c>
      <c r="N106" s="1">
        <v>0.12</v>
      </c>
      <c r="O106" s="1">
        <v>2.0010000000000002E-3</v>
      </c>
      <c r="P106" s="1">
        <v>-2.1030000000000002</v>
      </c>
    </row>
    <row r="107" spans="1:16" ht="12.75" customHeight="1">
      <c r="A107" s="1" t="s">
        <v>70</v>
      </c>
      <c r="B107" s="1" t="s">
        <v>166</v>
      </c>
      <c r="C107" s="1">
        <v>107</v>
      </c>
      <c r="D107" s="1" t="s">
        <v>20</v>
      </c>
      <c r="E107" s="1"/>
      <c r="F107" s="1"/>
      <c r="G107" s="1"/>
      <c r="H107" s="1">
        <v>4</v>
      </c>
      <c r="I107" s="1">
        <v>5089</v>
      </c>
      <c r="J107" s="1">
        <v>5676</v>
      </c>
      <c r="K107" s="1">
        <v>3447</v>
      </c>
      <c r="L107" s="1">
        <v>58.220999999999997</v>
      </c>
      <c r="M107" s="1">
        <v>0.65400000000000003</v>
      </c>
      <c r="N107" s="1">
        <v>0.11899999999999999</v>
      </c>
      <c r="O107" s="1">
        <v>1.9962999999999999E-3</v>
      </c>
      <c r="P107" s="1">
        <v>-4.431</v>
      </c>
    </row>
    <row r="108" spans="1:16" ht="12.75" customHeight="1">
      <c r="A108" s="1" t="s">
        <v>70</v>
      </c>
      <c r="B108" s="1" t="s">
        <v>167</v>
      </c>
      <c r="C108" s="1">
        <v>108</v>
      </c>
      <c r="D108" s="1" t="s">
        <v>20</v>
      </c>
      <c r="E108" s="1"/>
      <c r="F108" s="1"/>
      <c r="G108" s="1"/>
      <c r="H108" s="1">
        <v>4</v>
      </c>
      <c r="I108" s="1">
        <v>5048</v>
      </c>
      <c r="J108" s="1">
        <v>5632</v>
      </c>
      <c r="K108" s="1">
        <v>3419</v>
      </c>
      <c r="L108" s="1">
        <v>57.866999999999997</v>
      </c>
      <c r="M108" s="1">
        <v>0.65</v>
      </c>
      <c r="N108" s="1">
        <v>0.11799999999999999</v>
      </c>
      <c r="O108" s="1">
        <v>1.9964000000000002E-3</v>
      </c>
      <c r="P108" s="1">
        <v>-4.3899999999999997</v>
      </c>
    </row>
    <row r="109" spans="1:16" ht="12.75" customHeight="1">
      <c r="A109" s="1" t="s">
        <v>70</v>
      </c>
      <c r="B109" s="1" t="s">
        <v>168</v>
      </c>
      <c r="C109" s="1">
        <v>109</v>
      </c>
      <c r="D109" s="1" t="s">
        <v>169</v>
      </c>
      <c r="E109" s="1"/>
      <c r="F109" s="1"/>
      <c r="G109" s="1"/>
      <c r="H109" s="1">
        <v>4</v>
      </c>
      <c r="I109" s="1">
        <v>5013</v>
      </c>
      <c r="J109" s="1">
        <v>5592</v>
      </c>
      <c r="K109" s="1">
        <v>3402</v>
      </c>
      <c r="L109" s="1">
        <v>57.898000000000003</v>
      </c>
      <c r="M109" s="1">
        <v>0.65100000000000002</v>
      </c>
      <c r="N109" s="1">
        <v>0.11899999999999999</v>
      </c>
      <c r="O109" s="1">
        <v>1.9999000000000002E-3</v>
      </c>
      <c r="P109" s="1">
        <v>-2.6360000000000001</v>
      </c>
    </row>
    <row r="110" spans="1:16" ht="12.75" customHeight="1">
      <c r="A110" s="1" t="s">
        <v>70</v>
      </c>
      <c r="B110" s="1" t="s">
        <v>170</v>
      </c>
      <c r="C110" s="1">
        <v>110</v>
      </c>
      <c r="D110" s="1" t="s">
        <v>169</v>
      </c>
      <c r="E110" s="1"/>
      <c r="F110" s="1"/>
      <c r="G110" s="1"/>
      <c r="H110" s="1">
        <v>4</v>
      </c>
      <c r="I110" s="1">
        <v>5169</v>
      </c>
      <c r="J110" s="1">
        <v>5766</v>
      </c>
      <c r="K110" s="1">
        <v>3507</v>
      </c>
      <c r="L110" s="1">
        <v>59.713000000000001</v>
      </c>
      <c r="M110" s="1">
        <v>0.67100000000000004</v>
      </c>
      <c r="N110" s="1">
        <v>0.122</v>
      </c>
      <c r="O110" s="1">
        <v>1.9995E-3</v>
      </c>
      <c r="P110" s="1">
        <v>-2.8260000000000001</v>
      </c>
    </row>
    <row r="111" spans="1:16" ht="12.75" customHeight="1">
      <c r="A111" s="1" t="s">
        <v>70</v>
      </c>
      <c r="B111" s="1" t="s">
        <v>171</v>
      </c>
      <c r="C111" s="1">
        <v>111</v>
      </c>
      <c r="D111" s="1" t="s">
        <v>172</v>
      </c>
      <c r="E111" s="1"/>
      <c r="F111" s="1"/>
      <c r="G111" s="1"/>
      <c r="H111" s="1">
        <v>4</v>
      </c>
      <c r="I111" s="1">
        <v>5012</v>
      </c>
      <c r="J111" s="1">
        <v>5592</v>
      </c>
      <c r="K111" s="1">
        <v>3404</v>
      </c>
      <c r="L111" s="1">
        <v>57.548999999999999</v>
      </c>
      <c r="M111" s="1">
        <v>0.64700000000000002</v>
      </c>
      <c r="N111" s="1">
        <v>0.11799999999999999</v>
      </c>
      <c r="O111" s="1">
        <v>2.0010000000000002E-3</v>
      </c>
      <c r="P111" s="1">
        <v>-2.09</v>
      </c>
    </row>
    <row r="112" spans="1:16" ht="12.75" customHeight="1">
      <c r="A112" s="1" t="s">
        <v>70</v>
      </c>
      <c r="B112" s="1" t="s">
        <v>173</v>
      </c>
      <c r="C112" s="1">
        <v>112</v>
      </c>
      <c r="D112" s="1" t="s">
        <v>172</v>
      </c>
      <c r="E112" s="1"/>
      <c r="F112" s="1"/>
      <c r="G112" s="1"/>
      <c r="H112" s="1">
        <v>4</v>
      </c>
      <c r="I112" s="1">
        <v>5005</v>
      </c>
      <c r="J112" s="1">
        <v>5583</v>
      </c>
      <c r="K112" s="1">
        <v>3399</v>
      </c>
      <c r="L112" s="1">
        <v>57.682000000000002</v>
      </c>
      <c r="M112" s="1">
        <v>0.64800000000000002</v>
      </c>
      <c r="N112" s="1">
        <v>0.11799999999999999</v>
      </c>
      <c r="O112" s="1">
        <v>2.0014E-3</v>
      </c>
      <c r="P112" s="1">
        <v>-1.8959999999999999</v>
      </c>
    </row>
    <row r="113" spans="1:16" ht="12.75" customHeight="1">
      <c r="A113" s="1" t="s">
        <v>70</v>
      </c>
      <c r="B113" s="1" t="s">
        <v>176</v>
      </c>
      <c r="C113" s="1">
        <v>114</v>
      </c>
      <c r="D113" s="1" t="s">
        <v>175</v>
      </c>
      <c r="E113" s="1"/>
      <c r="F113" s="1"/>
      <c r="G113" s="1"/>
      <c r="H113" s="1">
        <v>4</v>
      </c>
      <c r="I113" s="1">
        <v>5082</v>
      </c>
      <c r="J113" s="1">
        <v>5670</v>
      </c>
      <c r="K113" s="1">
        <v>3456</v>
      </c>
      <c r="L113" s="1">
        <v>58.186</v>
      </c>
      <c r="M113" s="1">
        <v>0.65400000000000003</v>
      </c>
      <c r="N113" s="1">
        <v>0.11899999999999999</v>
      </c>
      <c r="O113" s="1">
        <v>2.0041E-3</v>
      </c>
      <c r="P113" s="1">
        <v>-0.53</v>
      </c>
    </row>
    <row r="114" spans="1:16" ht="12.75" customHeight="1">
      <c r="A114" s="1" t="s">
        <v>70</v>
      </c>
      <c r="B114" s="1" t="s">
        <v>177</v>
      </c>
      <c r="C114" s="1">
        <v>115</v>
      </c>
      <c r="D114" s="1" t="s">
        <v>16</v>
      </c>
      <c r="E114" s="1"/>
      <c r="F114" s="1"/>
      <c r="G114" s="1"/>
      <c r="H114" s="1">
        <v>4</v>
      </c>
      <c r="I114" s="1">
        <v>4917</v>
      </c>
      <c r="J114" s="1">
        <v>5488</v>
      </c>
      <c r="K114" s="1">
        <v>3354</v>
      </c>
      <c r="L114" s="1">
        <v>56.439</v>
      </c>
      <c r="M114" s="1">
        <v>0.63400000000000001</v>
      </c>
      <c r="N114" s="1">
        <v>0.11600000000000001</v>
      </c>
      <c r="O114" s="1">
        <v>2.0103E-3</v>
      </c>
      <c r="P114" s="1">
        <v>2.5230000000000001</v>
      </c>
    </row>
    <row r="115" spans="1:16" ht="12.75" customHeight="1">
      <c r="A115" s="1" t="s">
        <v>70</v>
      </c>
      <c r="B115" s="1" t="s">
        <v>178</v>
      </c>
      <c r="C115" s="1">
        <v>116</v>
      </c>
      <c r="D115" s="1" t="s">
        <v>16</v>
      </c>
      <c r="E115" s="1"/>
      <c r="F115" s="1"/>
      <c r="G115" s="1"/>
      <c r="H115" s="1">
        <v>4</v>
      </c>
      <c r="I115" s="1">
        <v>4939</v>
      </c>
      <c r="J115" s="1">
        <v>5512</v>
      </c>
      <c r="K115" s="1">
        <v>3369</v>
      </c>
      <c r="L115" s="1">
        <v>57.075000000000003</v>
      </c>
      <c r="M115" s="1">
        <v>0.64200000000000002</v>
      </c>
      <c r="N115" s="1">
        <v>0.11700000000000001</v>
      </c>
      <c r="O115" s="1">
        <v>2.0100000000000001E-3</v>
      </c>
      <c r="P115" s="1">
        <v>2.383</v>
      </c>
    </row>
    <row r="116" spans="1:16" ht="12.75" customHeight="1">
      <c r="A116" s="1" t="s">
        <v>70</v>
      </c>
      <c r="B116" s="1" t="s">
        <v>179</v>
      </c>
      <c r="C116" s="1">
        <v>117</v>
      </c>
      <c r="D116" s="1" t="s">
        <v>16</v>
      </c>
      <c r="E116" s="1"/>
      <c r="F116" s="1"/>
      <c r="G116" s="1"/>
      <c r="H116" s="1">
        <v>4</v>
      </c>
      <c r="I116" s="1">
        <v>5021</v>
      </c>
      <c r="J116" s="1">
        <v>5601</v>
      </c>
      <c r="K116" s="1">
        <v>3424</v>
      </c>
      <c r="L116" s="1">
        <v>58.091000000000001</v>
      </c>
      <c r="M116" s="1">
        <v>0.65300000000000002</v>
      </c>
      <c r="N116" s="1">
        <v>0.12</v>
      </c>
      <c r="O116" s="1">
        <v>2.0100999999999999E-3</v>
      </c>
      <c r="P116" s="1">
        <v>2.419</v>
      </c>
    </row>
    <row r="117" spans="1:16" ht="12.75" customHeight="1">
      <c r="A117" s="1" t="s">
        <v>70</v>
      </c>
      <c r="B117" s="1" t="s">
        <v>180</v>
      </c>
      <c r="C117" s="1">
        <v>118</v>
      </c>
      <c r="D117" s="1" t="s">
        <v>20</v>
      </c>
      <c r="E117" s="1"/>
      <c r="F117" s="1"/>
      <c r="G117" s="1"/>
      <c r="H117" s="1">
        <v>4</v>
      </c>
      <c r="I117" s="1">
        <v>5036</v>
      </c>
      <c r="J117" s="1">
        <v>5619</v>
      </c>
      <c r="K117" s="1">
        <v>3413</v>
      </c>
      <c r="L117" s="1">
        <v>57.786999999999999</v>
      </c>
      <c r="M117" s="1">
        <v>0.64900000000000002</v>
      </c>
      <c r="N117" s="1">
        <v>0.11799999999999999</v>
      </c>
      <c r="O117" s="1">
        <v>1.9967000000000001E-3</v>
      </c>
      <c r="P117" s="1">
        <v>-4.2539999999999996</v>
      </c>
    </row>
    <row r="118" spans="1:16" ht="12.75" customHeight="1">
      <c r="A118" s="1" t="s">
        <v>70</v>
      </c>
      <c r="B118" s="1" t="s">
        <v>181</v>
      </c>
      <c r="C118" s="1">
        <v>119</v>
      </c>
      <c r="D118" s="1" t="s">
        <v>20</v>
      </c>
      <c r="E118" s="1"/>
      <c r="F118" s="1"/>
      <c r="G118" s="1"/>
      <c r="H118" s="1">
        <v>4</v>
      </c>
      <c r="I118" s="1">
        <v>4990</v>
      </c>
      <c r="J118" s="1">
        <v>5567</v>
      </c>
      <c r="K118" s="1">
        <v>3381</v>
      </c>
      <c r="L118" s="1">
        <v>57.372</v>
      </c>
      <c r="M118" s="1">
        <v>0.64500000000000002</v>
      </c>
      <c r="N118" s="1">
        <v>0.11700000000000001</v>
      </c>
      <c r="O118" s="1">
        <v>1.9967000000000001E-3</v>
      </c>
      <c r="P118" s="1">
        <v>-4.2560000000000002</v>
      </c>
    </row>
    <row r="119" spans="1:16" ht="12.75" customHeight="1">
      <c r="A119" s="1" t="s">
        <v>70</v>
      </c>
      <c r="B119" s="1" t="s">
        <v>182</v>
      </c>
      <c r="C119" s="1">
        <v>120</v>
      </c>
      <c r="D119" s="1" t="s">
        <v>20</v>
      </c>
      <c r="E119" s="1"/>
      <c r="F119" s="1"/>
      <c r="G119" s="1"/>
      <c r="H119" s="1">
        <v>4</v>
      </c>
      <c r="I119" s="1">
        <v>4926</v>
      </c>
      <c r="J119" s="1">
        <v>5495</v>
      </c>
      <c r="K119" s="1">
        <v>3336</v>
      </c>
      <c r="L119" s="1">
        <v>56.843000000000004</v>
      </c>
      <c r="M119" s="1">
        <v>0.63900000000000001</v>
      </c>
      <c r="N119" s="1">
        <v>0.11600000000000001</v>
      </c>
      <c r="O119" s="1">
        <v>1.9964000000000002E-3</v>
      </c>
      <c r="P119" s="1">
        <v>-4.38</v>
      </c>
    </row>
    <row r="120" spans="1:16" ht="12.75" customHeight="1">
      <c r="A120" s="1" t="s">
        <v>70</v>
      </c>
      <c r="B120" s="1" t="s">
        <v>183</v>
      </c>
      <c r="C120" s="1">
        <v>121</v>
      </c>
      <c r="D120" s="1" t="s">
        <v>24</v>
      </c>
      <c r="E120" s="1"/>
      <c r="F120" s="1"/>
      <c r="G120" s="1"/>
      <c r="H120" s="1">
        <v>4</v>
      </c>
      <c r="I120" s="1">
        <v>5019</v>
      </c>
      <c r="J120" s="1">
        <v>5599</v>
      </c>
      <c r="K120" s="1">
        <v>3381</v>
      </c>
      <c r="L120" s="1">
        <v>58.03</v>
      </c>
      <c r="M120" s="1">
        <v>0.65200000000000002</v>
      </c>
      <c r="N120" s="1">
        <v>0.11799999999999999</v>
      </c>
      <c r="O120" s="1">
        <v>1.9853000000000002E-3</v>
      </c>
      <c r="P120" s="1">
        <v>-9.9309999999999992</v>
      </c>
    </row>
    <row r="121" spans="1:16" ht="12.75" customHeight="1">
      <c r="A121" s="1" t="s">
        <v>70</v>
      </c>
      <c r="B121" s="1" t="s">
        <v>184</v>
      </c>
      <c r="C121" s="1">
        <v>122</v>
      </c>
      <c r="D121" s="1" t="s">
        <v>24</v>
      </c>
      <c r="E121" s="1"/>
      <c r="F121" s="1"/>
      <c r="G121" s="1"/>
      <c r="H121" s="1">
        <v>4</v>
      </c>
      <c r="I121" s="1">
        <v>4920</v>
      </c>
      <c r="J121" s="1">
        <v>5488</v>
      </c>
      <c r="K121" s="1">
        <v>3313</v>
      </c>
      <c r="L121" s="1">
        <v>56.542999999999999</v>
      </c>
      <c r="M121" s="1">
        <v>0.63500000000000001</v>
      </c>
      <c r="N121" s="1">
        <v>0.115</v>
      </c>
      <c r="O121" s="1">
        <v>1.9846999999999998E-3</v>
      </c>
      <c r="P121" s="1">
        <v>-10.24</v>
      </c>
    </row>
    <row r="122" spans="1:16" ht="12.75" customHeight="1">
      <c r="A122" s="1" t="s">
        <v>70</v>
      </c>
      <c r="B122" s="1" t="s">
        <v>185</v>
      </c>
      <c r="C122" s="1">
        <v>123</v>
      </c>
      <c r="D122" s="1" t="s">
        <v>24</v>
      </c>
      <c r="E122" s="1"/>
      <c r="F122" s="1"/>
      <c r="G122" s="1"/>
      <c r="H122" s="1">
        <v>4</v>
      </c>
      <c r="I122" s="1">
        <v>4943</v>
      </c>
      <c r="J122" s="1">
        <v>5515</v>
      </c>
      <c r="K122" s="1">
        <v>3330</v>
      </c>
      <c r="L122" s="1">
        <v>57.231000000000002</v>
      </c>
      <c r="M122" s="1">
        <v>0.64300000000000002</v>
      </c>
      <c r="N122" s="1">
        <v>0.11600000000000001</v>
      </c>
      <c r="O122" s="1">
        <v>1.9857999999999998E-3</v>
      </c>
      <c r="P122" s="1">
        <v>-9.6869999999999994</v>
      </c>
    </row>
    <row r="123" spans="1:16" ht="12.75" customHeight="1">
      <c r="A123" s="1" t="s">
        <v>70</v>
      </c>
      <c r="B123" s="1" t="s">
        <v>186</v>
      </c>
      <c r="C123" s="1">
        <v>124</v>
      </c>
      <c r="D123" s="1" t="s">
        <v>28</v>
      </c>
      <c r="E123" s="1"/>
      <c r="F123" s="1"/>
      <c r="G123" s="1"/>
      <c r="H123" s="1">
        <v>4</v>
      </c>
      <c r="I123" s="1">
        <v>4925</v>
      </c>
      <c r="J123" s="1">
        <v>5494</v>
      </c>
      <c r="K123" s="1">
        <v>3314</v>
      </c>
      <c r="L123" s="1">
        <v>56.674999999999997</v>
      </c>
      <c r="M123" s="1">
        <v>0.63700000000000001</v>
      </c>
      <c r="N123" s="1">
        <v>0.115</v>
      </c>
      <c r="O123" s="1">
        <v>1.9827E-3</v>
      </c>
      <c r="P123" s="1">
        <v>-11.224</v>
      </c>
    </row>
    <row r="124" spans="1:16" ht="12.75" customHeight="1">
      <c r="A124" s="1" t="s">
        <v>70</v>
      </c>
      <c r="B124" s="1" t="s">
        <v>187</v>
      </c>
      <c r="C124" s="1">
        <v>125</v>
      </c>
      <c r="D124" s="1" t="s">
        <v>28</v>
      </c>
      <c r="E124" s="1"/>
      <c r="F124" s="1"/>
      <c r="G124" s="1"/>
      <c r="H124" s="1">
        <v>4</v>
      </c>
      <c r="I124" s="1">
        <v>5016</v>
      </c>
      <c r="J124" s="1">
        <v>5595</v>
      </c>
      <c r="K124" s="1">
        <v>3374</v>
      </c>
      <c r="L124" s="1">
        <v>57.756</v>
      </c>
      <c r="M124" s="1">
        <v>0.64900000000000002</v>
      </c>
      <c r="N124" s="1">
        <v>0.11700000000000001</v>
      </c>
      <c r="O124" s="1">
        <v>1.9821999999999999E-3</v>
      </c>
      <c r="P124" s="1">
        <v>-11.452999999999999</v>
      </c>
    </row>
    <row r="125" spans="1:16" ht="12.75" customHeight="1">
      <c r="A125" s="1" t="s">
        <v>70</v>
      </c>
      <c r="B125" s="1" t="s">
        <v>188</v>
      </c>
      <c r="C125" s="1">
        <v>126</v>
      </c>
      <c r="D125" s="1" t="s">
        <v>28</v>
      </c>
      <c r="E125" s="1"/>
      <c r="F125" s="1"/>
      <c r="G125" s="1"/>
      <c r="H125" s="1">
        <v>4</v>
      </c>
      <c r="I125" s="1">
        <v>4961</v>
      </c>
      <c r="J125" s="1">
        <v>5534</v>
      </c>
      <c r="K125" s="1">
        <v>3337</v>
      </c>
      <c r="L125" s="1">
        <v>57.070999999999998</v>
      </c>
      <c r="M125" s="1">
        <v>0.64100000000000001</v>
      </c>
      <c r="N125" s="1">
        <v>0.11600000000000001</v>
      </c>
      <c r="O125" s="1">
        <v>1.9824999999999999E-3</v>
      </c>
      <c r="P125" s="1">
        <v>-11.340999999999999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905"/>
  <sheetViews>
    <sheetView topLeftCell="A90" workbookViewId="0">
      <selection activeCell="G163" sqref="G163"/>
    </sheetView>
  </sheetViews>
  <sheetFormatPr defaultRowHeight="12.75" customHeight="1"/>
  <cols>
    <col min="1" max="3" width="15" style="2" customWidth="1"/>
    <col min="4" max="4" width="16.7109375" style="2" customWidth="1"/>
    <col min="5" max="5" width="15" style="2" customWidth="1"/>
    <col min="6" max="6" width="16.28515625" style="2" customWidth="1"/>
    <col min="7" max="257" width="15" style="2" customWidth="1"/>
  </cols>
  <sheetData>
    <row r="1" spans="1:11" ht="12.75" customHeight="1">
      <c r="A1" s="6" t="s">
        <v>215</v>
      </c>
      <c r="H1" s="7" t="s">
        <v>216</v>
      </c>
    </row>
    <row r="3" spans="1:11" ht="12.75" customHeight="1">
      <c r="B3" s="3" t="s">
        <v>217</v>
      </c>
      <c r="C3" s="3" t="s">
        <v>16</v>
      </c>
      <c r="D3" s="3" t="s">
        <v>20</v>
      </c>
      <c r="E3" s="3" t="s">
        <v>24</v>
      </c>
      <c r="F3" s="3" t="s">
        <v>28</v>
      </c>
      <c r="H3" s="3" t="s">
        <v>217</v>
      </c>
      <c r="I3" s="3" t="s">
        <v>218</v>
      </c>
      <c r="J3" s="3" t="s">
        <v>219</v>
      </c>
      <c r="K3" s="3"/>
    </row>
    <row r="4" spans="1:11" ht="12.75" customHeight="1">
      <c r="A4" s="20" t="s">
        <v>220</v>
      </c>
      <c r="B4" s="3" t="s">
        <v>213</v>
      </c>
      <c r="C4" s="5">
        <f>+AVERAGEIF('2H filtrado'!D:D,"=Mar",'2H filtrado'!N:N)</f>
        <v>255.38166666666666</v>
      </c>
      <c r="D4" s="5">
        <f>+AVERAGEIF('2H filtrado'!D:D,"=Buenos Aires",'2H filtrado'!N:N)</f>
        <v>207.33822727272721</v>
      </c>
      <c r="E4" s="5">
        <f>+AVERAGEIF('2H filtrado'!D:D,"=Mendoza",'2H filtrado'!N:N)</f>
        <v>166.05416666666665</v>
      </c>
      <c r="F4" s="5">
        <f>+AVERAGEIF('2H filtrado'!D:D,"=Antartida",'2H filtrado'!N:N)</f>
        <v>138.85283333333334</v>
      </c>
      <c r="H4" s="2" t="s">
        <v>16</v>
      </c>
      <c r="I4" s="2">
        <v>253.256</v>
      </c>
      <c r="J4" s="2">
        <v>-0.49</v>
      </c>
    </row>
    <row r="5" spans="1:11" ht="12.75" customHeight="1">
      <c r="A5" s="20"/>
      <c r="B5" s="3" t="s">
        <v>214</v>
      </c>
      <c r="C5" s="8">
        <f t="array" ref="C5">+STDEV(IF('2H filtrado'!$D:$D=C3,'2H filtrado'!$N:$N))</f>
        <v>2.2314303633917496</v>
      </c>
      <c r="D5" s="8">
        <f t="array" ref="D5">+STDEV(IF('2H filtrado'!$D:$D=D3,'2H filtrado'!$N:$N))</f>
        <v>1.5200158499116669</v>
      </c>
      <c r="E5" s="8">
        <f t="array" ref="E5">+STDEV(IF('2H filtrado'!$D:$D=E3,'2H filtrado'!$N:$N))</f>
        <v>1.294522524588378</v>
      </c>
      <c r="F5" s="8">
        <f t="array" ref="F5">+STDEV(IF('2H filtrado'!$D:$D=F3,'2H filtrado'!$N:$N))</f>
        <v>1.6881738555808352</v>
      </c>
      <c r="H5" s="2" t="s">
        <v>16</v>
      </c>
      <c r="I5" s="2">
        <v>254.87700000000001</v>
      </c>
      <c r="J5" s="2">
        <v>-0.49</v>
      </c>
    </row>
    <row r="6" spans="1:11" ht="12.75" customHeight="1">
      <c r="A6" s="20"/>
      <c r="B6" s="3" t="s">
        <v>221</v>
      </c>
      <c r="C6" s="2">
        <f t="array" ref="C6">+COUNT(IF('2H filtrado'!$D:$D=C3,'2H filtrado'!$N:$N))</f>
        <v>6</v>
      </c>
      <c r="D6" s="2">
        <f t="array" ref="D6">+COUNT(IF('2H filtrado'!$D:$D=D3,'2H filtrado'!$N:$N))</f>
        <v>22</v>
      </c>
      <c r="E6" s="2">
        <f t="array" ref="E6">+COUNT(IF('2H filtrado'!$D:$D=E3,'2H filtrado'!$N:$N))</f>
        <v>6</v>
      </c>
      <c r="F6" s="2">
        <f t="array" ref="F6">+COUNT(IF('2H filtrado'!$D:$D=F3,'2H filtrado'!$N:$N))</f>
        <v>6</v>
      </c>
      <c r="H6" s="2" t="s">
        <v>16</v>
      </c>
      <c r="I6" s="2">
        <v>252.97</v>
      </c>
      <c r="J6" s="2">
        <v>-0.49</v>
      </c>
    </row>
    <row r="7" spans="1:11" ht="12.75" customHeight="1">
      <c r="H7" s="2" t="s">
        <v>20</v>
      </c>
      <c r="I7" s="2">
        <v>207.583</v>
      </c>
      <c r="J7" s="2">
        <v>-36.92</v>
      </c>
    </row>
    <row r="8" spans="1:11" ht="12.75" customHeight="1">
      <c r="B8" s="3" t="s">
        <v>222</v>
      </c>
      <c r="C8" s="2">
        <v>-0.49</v>
      </c>
      <c r="D8" s="2">
        <v>-36.92</v>
      </c>
      <c r="E8" s="2">
        <v>-72.069999999999993</v>
      </c>
      <c r="F8" s="2">
        <v>-94.89</v>
      </c>
      <c r="H8" s="2" t="s">
        <v>20</v>
      </c>
      <c r="I8" s="2">
        <v>209.739</v>
      </c>
      <c r="J8" s="2">
        <v>-36.92</v>
      </c>
    </row>
    <row r="9" spans="1:11" ht="12.75" customHeight="1">
      <c r="H9" s="2" t="s">
        <v>20</v>
      </c>
      <c r="I9" s="2">
        <v>207.52799999999999</v>
      </c>
      <c r="J9" s="2">
        <v>-36.92</v>
      </c>
    </row>
    <row r="10" spans="1:11" ht="12.75" customHeight="1">
      <c r="A10" s="20" t="s">
        <v>223</v>
      </c>
      <c r="B10" s="3" t="s">
        <v>213</v>
      </c>
      <c r="C10" s="5">
        <f>+AVERAGEIF($B$31:$B$400,C3,$D$31:$D$400)</f>
        <v>0.23596263679063481</v>
      </c>
      <c r="D10" s="5">
        <f>+AVERAGEIF($B$31:$B$400,D3,$D$31:$D$400)</f>
        <v>-38.750008617063628</v>
      </c>
      <c r="E10" s="5">
        <f>+AVERAGEIF($B$31:$B$400,E3,$D$31:$D$400)</f>
        <v>-72.250924045555863</v>
      </c>
      <c r="F10" s="5">
        <f>+AVERAGEIF($B$31:$B$400,F3,$D$31:$D$400)</f>
        <v>-94.324081437647536</v>
      </c>
      <c r="H10" s="2" t="s">
        <v>24</v>
      </c>
      <c r="I10" s="2">
        <v>167.18199999999999</v>
      </c>
      <c r="J10" s="2">
        <v>-72.069999999999993</v>
      </c>
    </row>
    <row r="11" spans="1:11" ht="12.75" customHeight="1">
      <c r="A11" s="20"/>
      <c r="B11" s="3" t="s">
        <v>214</v>
      </c>
      <c r="C11" s="5">
        <f t="array" ref="C11">+STDEV(IF($B$31:$B$400=C3,$D$31:$D$400))</f>
        <v>1.8107462975088859</v>
      </c>
      <c r="D11" s="5">
        <f t="array" ref="D11">+STDEV(IF($B$31:$B$400=D3,$D$31:$D$400))</f>
        <v>1.2334523709710636</v>
      </c>
      <c r="E11" s="5">
        <f t="array" ref="E11">+STDEV(IF($B$31:$B$400=E3,$D$31:$D$400))</f>
        <v>1.0504705443181854</v>
      </c>
      <c r="F11" s="5">
        <f t="array" ref="F11">+STDEV(IF($B$31:$B$400=F3,$D$31:$D$400))</f>
        <v>1.369908113062474</v>
      </c>
      <c r="H11" s="2" t="s">
        <v>24</v>
      </c>
      <c r="I11" s="2">
        <v>164.245</v>
      </c>
      <c r="J11" s="2">
        <v>-72.069999999999993</v>
      </c>
    </row>
    <row r="12" spans="1:11" ht="12.75" customHeight="1">
      <c r="H12" s="2" t="s">
        <v>24</v>
      </c>
      <c r="I12" s="2">
        <v>166.37100000000001</v>
      </c>
      <c r="J12" s="2">
        <v>-72.069999999999993</v>
      </c>
    </row>
    <row r="13" spans="1:11" ht="12.75" customHeight="1">
      <c r="H13" s="2" t="s">
        <v>28</v>
      </c>
      <c r="I13" s="2">
        <v>141.55099999999999</v>
      </c>
      <c r="J13" s="2">
        <v>-94.89</v>
      </c>
    </row>
    <row r="14" spans="1:11" ht="12.75" customHeight="1">
      <c r="H14" s="2" t="s">
        <v>28</v>
      </c>
      <c r="I14" s="2">
        <v>136.43899999999999</v>
      </c>
      <c r="J14" s="2">
        <v>-94.89</v>
      </c>
    </row>
    <row r="15" spans="1:11" ht="12.75" customHeight="1">
      <c r="H15" s="2" t="s">
        <v>28</v>
      </c>
      <c r="I15" s="2">
        <v>138.19499999999999</v>
      </c>
      <c r="J15" s="2">
        <v>-94.89</v>
      </c>
    </row>
    <row r="16" spans="1:11" ht="12.75" customHeight="1">
      <c r="H16" s="2" t="s">
        <v>16</v>
      </c>
      <c r="I16" s="2">
        <v>256.24700000000001</v>
      </c>
      <c r="J16" s="2">
        <v>-0.49</v>
      </c>
    </row>
    <row r="17" spans="1:14" ht="12.75" customHeight="1">
      <c r="H17" s="2" t="s">
        <v>16</v>
      </c>
      <c r="I17" s="2">
        <v>255.91499999999999</v>
      </c>
      <c r="J17" s="2">
        <v>-0.49</v>
      </c>
    </row>
    <row r="18" spans="1:14" ht="12.75" customHeight="1">
      <c r="H18" s="2" t="s">
        <v>16</v>
      </c>
      <c r="I18" s="2">
        <v>259.02499999999998</v>
      </c>
      <c r="J18" s="2">
        <v>-0.49</v>
      </c>
    </row>
    <row r="19" spans="1:14" ht="12.75" customHeight="1">
      <c r="H19" s="2" t="s">
        <v>20</v>
      </c>
      <c r="I19" s="2">
        <v>207.12299999999999</v>
      </c>
      <c r="J19" s="2">
        <v>-36.92</v>
      </c>
    </row>
    <row r="20" spans="1:14" ht="12.75" customHeight="1">
      <c r="H20" s="2" t="s">
        <v>20</v>
      </c>
      <c r="I20" s="2">
        <v>211.84700000000001</v>
      </c>
      <c r="J20" s="2">
        <v>-36.92</v>
      </c>
    </row>
    <row r="21" spans="1:14" ht="12.75" customHeight="1">
      <c r="H21" s="2" t="s">
        <v>20</v>
      </c>
      <c r="I21" s="2">
        <v>205.52600000000001</v>
      </c>
      <c r="J21" s="2">
        <v>-36.92</v>
      </c>
      <c r="M21" s="3" t="s">
        <v>199</v>
      </c>
      <c r="N21" s="9">
        <f>+SLOPE(I4:I27,J4:J27)</f>
        <v>1.2323263432660969</v>
      </c>
    </row>
    <row r="22" spans="1:14" ht="12.75" customHeight="1">
      <c r="H22" s="2" t="s">
        <v>24</v>
      </c>
      <c r="I22" s="2">
        <v>167.74100000000001</v>
      </c>
      <c r="J22" s="2">
        <v>-72.069999999999993</v>
      </c>
      <c r="M22" s="3" t="s">
        <v>200</v>
      </c>
      <c r="N22" s="9">
        <f>+INTERCEPT(I4:I27,J4:J27)</f>
        <v>255.09088369332304</v>
      </c>
    </row>
    <row r="23" spans="1:14" ht="12.75" customHeight="1">
      <c r="H23" s="2" t="s">
        <v>24</v>
      </c>
      <c r="I23" s="2">
        <v>165.31</v>
      </c>
      <c r="J23" s="2">
        <v>-72.069999999999993</v>
      </c>
      <c r="M23" s="3" t="s">
        <v>205</v>
      </c>
      <c r="N23" s="9">
        <f>+PEARSON(I4:I27,J4:J27)^2</f>
        <v>0.99804034035859723</v>
      </c>
    </row>
    <row r="24" spans="1:14" ht="12.75" customHeight="1">
      <c r="H24" s="2" t="s">
        <v>24</v>
      </c>
      <c r="I24" s="2">
        <v>165.476</v>
      </c>
      <c r="J24" s="2">
        <v>-72.069999999999993</v>
      </c>
    </row>
    <row r="25" spans="1:14" ht="12.75" customHeight="1">
      <c r="H25" s="2" t="s">
        <v>28</v>
      </c>
      <c r="I25" s="2">
        <v>139.352</v>
      </c>
      <c r="J25" s="2">
        <v>-94.89</v>
      </c>
    </row>
    <row r="26" spans="1:14" ht="12.75" customHeight="1">
      <c r="H26" s="2" t="s">
        <v>28</v>
      </c>
      <c r="I26" s="2">
        <v>138.31399999999999</v>
      </c>
      <c r="J26" s="2">
        <v>-94.89</v>
      </c>
    </row>
    <row r="27" spans="1:14" ht="12.75" customHeight="1">
      <c r="H27" s="2" t="s">
        <v>28</v>
      </c>
      <c r="I27" s="2">
        <v>139.26599999999999</v>
      </c>
      <c r="J27" s="2">
        <v>-94.89</v>
      </c>
    </row>
    <row r="30" spans="1:14" ht="12.75" customHeight="1">
      <c r="A30" s="3" t="str">
        <f>+'2H filtrado'!C1</f>
        <v>Row</v>
      </c>
      <c r="B30" s="3" t="str">
        <f>+'2H filtrado'!D1</f>
        <v>Identifier 1</v>
      </c>
      <c r="C30" s="3" t="str">
        <f>+'2H filtrado'!N1</f>
        <v>d 3H2/2H2</v>
      </c>
      <c r="D30" s="3" t="s">
        <v>224</v>
      </c>
      <c r="E30" s="3"/>
      <c r="F30" s="3" t="s">
        <v>225</v>
      </c>
      <c r="G30" s="3" t="s">
        <v>198</v>
      </c>
    </row>
    <row r="31" spans="1:14" ht="12.75" customHeight="1">
      <c r="A31" s="2">
        <f>+'2H filtrado'!C2</f>
        <v>1</v>
      </c>
      <c r="B31" s="2" t="str">
        <f>+'2H filtrado'!D2</f>
        <v>Mar</v>
      </c>
      <c r="C31" s="5">
        <f>+'2H filtrado'!N2</f>
        <v>253.256</v>
      </c>
      <c r="D31" s="5">
        <f t="shared" ref="D31:D94" si="0">+(C31-$N$22)/$N$21</f>
        <v>-1.4889592382322614</v>
      </c>
      <c r="F31" s="2" t="s">
        <v>32</v>
      </c>
      <c r="G31" s="4">
        <f t="shared" ref="G31:G74" si="1">+AVERAGEIF($B$31:$B$400,F31,$D$31:$D$400)</f>
        <v>-94.38156080074026</v>
      </c>
    </row>
    <row r="32" spans="1:14" ht="12.75" customHeight="1">
      <c r="A32" s="2">
        <f>+'2H filtrado'!C3</f>
        <v>2</v>
      </c>
      <c r="B32" s="2" t="str">
        <f>+'2H filtrado'!D3</f>
        <v>Mar</v>
      </c>
      <c r="C32" s="5">
        <f>+'2H filtrado'!N3</f>
        <v>254.87700000000001</v>
      </c>
      <c r="D32" s="5">
        <f t="shared" si="0"/>
        <v>-0.17356091955005992</v>
      </c>
      <c r="F32" s="2" t="s">
        <v>35</v>
      </c>
      <c r="G32" s="4">
        <f t="shared" si="1"/>
        <v>-75.484374899252543</v>
      </c>
    </row>
    <row r="33" spans="1:7" ht="12.75" customHeight="1">
      <c r="A33" s="2">
        <f>+'2H filtrado'!C4</f>
        <v>3</v>
      </c>
      <c r="B33" s="2" t="str">
        <f>+'2H filtrado'!D4</f>
        <v>Mar</v>
      </c>
      <c r="C33" s="5">
        <f>+'2H filtrado'!N4</f>
        <v>252.97</v>
      </c>
      <c r="D33" s="5">
        <f t="shared" si="0"/>
        <v>-1.7210406195666903</v>
      </c>
      <c r="F33" s="2" t="s">
        <v>38</v>
      </c>
      <c r="G33" s="4">
        <f t="shared" si="1"/>
        <v>-35.288853420163221</v>
      </c>
    </row>
    <row r="34" spans="1:7" ht="12.75" customHeight="1">
      <c r="A34" s="2">
        <f>+'2H filtrado'!C5</f>
        <v>4</v>
      </c>
      <c r="B34" s="2" t="str">
        <f>+'2H filtrado'!D5</f>
        <v>Buenos Aires</v>
      </c>
      <c r="C34" s="5">
        <f>+'2H filtrado'!N5</f>
        <v>207.583</v>
      </c>
      <c r="D34" s="5">
        <f t="shared" si="0"/>
        <v>-38.551382069306811</v>
      </c>
      <c r="F34" s="2" t="s">
        <v>41</v>
      </c>
      <c r="G34" s="4">
        <f t="shared" si="1"/>
        <v>-15.713275788621015</v>
      </c>
    </row>
    <row r="35" spans="1:7" ht="12.75" customHeight="1">
      <c r="A35" s="2">
        <f>+'2H filtrado'!C6</f>
        <v>5</v>
      </c>
      <c r="B35" s="2" t="str">
        <f>+'2H filtrado'!D6</f>
        <v>Buenos Aires</v>
      </c>
      <c r="C35" s="5">
        <f>+'2H filtrado'!N6</f>
        <v>209.739</v>
      </c>
      <c r="D35" s="5">
        <f t="shared" si="0"/>
        <v>-36.801845502324198</v>
      </c>
      <c r="F35" s="2" t="s">
        <v>44</v>
      </c>
      <c r="G35" s="4">
        <f t="shared" si="1"/>
        <v>-53.553901573191084</v>
      </c>
    </row>
    <row r="36" spans="1:7" ht="12.75" customHeight="1">
      <c r="A36" s="2">
        <f>+'2H filtrado'!C7</f>
        <v>6</v>
      </c>
      <c r="B36" s="2" t="str">
        <f>+'2H filtrado'!D7</f>
        <v>Buenos Aires</v>
      </c>
      <c r="C36" s="5">
        <f>+'2H filtrado'!N7</f>
        <v>207.52799999999999</v>
      </c>
      <c r="D36" s="5">
        <f t="shared" si="0"/>
        <v>-38.596013104178823</v>
      </c>
      <c r="F36" s="2" t="s">
        <v>49</v>
      </c>
      <c r="G36" s="4">
        <f t="shared" si="1"/>
        <v>-76.232959075060265</v>
      </c>
    </row>
    <row r="37" spans="1:7" ht="12.75" customHeight="1">
      <c r="A37" s="2">
        <f>+'2H filtrado'!C8</f>
        <v>7</v>
      </c>
      <c r="B37" s="2" t="str">
        <f>+'2H filtrado'!D8</f>
        <v>Mendoza</v>
      </c>
      <c r="C37" s="5">
        <f>+'2H filtrado'!N8</f>
        <v>167.18199999999999</v>
      </c>
      <c r="D37" s="5">
        <f t="shared" si="0"/>
        <v>-71.335717339559324</v>
      </c>
      <c r="F37" s="2" t="s">
        <v>52</v>
      </c>
      <c r="G37" s="4">
        <f t="shared" si="1"/>
        <v>-110.41018837</v>
      </c>
    </row>
    <row r="38" spans="1:7" ht="12.75" customHeight="1">
      <c r="A38" s="2">
        <f>+'2H filtrado'!C9</f>
        <v>8</v>
      </c>
      <c r="B38" s="2" t="str">
        <f>+'2H filtrado'!D9</f>
        <v>Mendoza</v>
      </c>
      <c r="C38" s="5">
        <f>+'2H filtrado'!N9</f>
        <v>164.245</v>
      </c>
      <c r="D38" s="5">
        <f t="shared" si="0"/>
        <v>-73.719014601724396</v>
      </c>
      <c r="F38" s="2" t="s">
        <v>55</v>
      </c>
      <c r="G38" s="4">
        <f t="shared" si="1"/>
        <v>-55.503872060417052</v>
      </c>
    </row>
    <row r="39" spans="1:7" ht="12.75" customHeight="1">
      <c r="A39" s="2">
        <f>+'2H filtrado'!C10</f>
        <v>9</v>
      </c>
      <c r="B39" s="2" t="str">
        <f>+'2H filtrado'!D10</f>
        <v>Mendoza</v>
      </c>
      <c r="C39" s="5">
        <f>+'2H filtrado'!N10</f>
        <v>166.37100000000001</v>
      </c>
      <c r="D39" s="5">
        <f t="shared" si="0"/>
        <v>-71.993822235581064</v>
      </c>
      <c r="F39" s="2" t="s">
        <v>58</v>
      </c>
      <c r="G39" s="4">
        <f t="shared" si="1"/>
        <v>-20.900619250790008</v>
      </c>
    </row>
    <row r="40" spans="1:7" ht="12.75" customHeight="1">
      <c r="A40" s="2">
        <f>+'2H filtrado'!C11</f>
        <v>10</v>
      </c>
      <c r="B40" s="2" t="str">
        <f>+'2H filtrado'!D11</f>
        <v>Antartida</v>
      </c>
      <c r="C40" s="5">
        <f>+'2H filtrado'!N11</f>
        <v>141.55099999999999</v>
      </c>
      <c r="D40" s="5">
        <f t="shared" si="0"/>
        <v>-92.134591063275124</v>
      </c>
      <c r="F40" s="2" t="s">
        <v>61</v>
      </c>
      <c r="G40" s="4">
        <f t="shared" si="1"/>
        <v>-31.585288999148084</v>
      </c>
    </row>
    <row r="41" spans="1:7" ht="12.75" customHeight="1">
      <c r="A41" s="2">
        <f>+'2H filtrado'!C12</f>
        <v>11</v>
      </c>
      <c r="B41" s="2" t="str">
        <f>+'2H filtrado'!D12</f>
        <v>Antartida</v>
      </c>
      <c r="C41" s="5">
        <f>+'2H filtrado'!N12</f>
        <v>136.43899999999999</v>
      </c>
      <c r="D41" s="5">
        <f t="shared" si="0"/>
        <v>-96.282842886287696</v>
      </c>
      <c r="F41" s="2" t="s">
        <v>66</v>
      </c>
      <c r="G41" s="4">
        <f t="shared" si="1"/>
        <v>-17.342308561449215</v>
      </c>
    </row>
    <row r="42" spans="1:7" ht="12.75" customHeight="1">
      <c r="A42" s="2">
        <f>+'2H filtrado'!C13</f>
        <v>12</v>
      </c>
      <c r="B42" s="2" t="str">
        <f>+'2H filtrado'!D13</f>
        <v>Antartida</v>
      </c>
      <c r="C42" s="5">
        <f>+'2H filtrado'!N13</f>
        <v>138.19499999999999</v>
      </c>
      <c r="D42" s="5">
        <f t="shared" si="0"/>
        <v>-94.857895663828756</v>
      </c>
      <c r="F42" s="2" t="s">
        <v>69</v>
      </c>
      <c r="G42" s="4">
        <f t="shared" si="1"/>
        <v>-28.381592168699413</v>
      </c>
    </row>
    <row r="43" spans="1:7" ht="12.75" customHeight="1">
      <c r="A43" s="2">
        <f>+'2H filtrado'!C14</f>
        <v>13</v>
      </c>
      <c r="B43" s="2" t="str">
        <f>+'2H filtrado'!D14</f>
        <v>A017</v>
      </c>
      <c r="C43" s="5">
        <f>+'2H filtrado'!N14</f>
        <v>138.33699999999999</v>
      </c>
      <c r="D43" s="5">
        <f t="shared" si="0"/>
        <v>-94.742666446522861</v>
      </c>
      <c r="F43" s="2" t="s">
        <v>73</v>
      </c>
      <c r="G43" s="4">
        <f t="shared" si="1"/>
        <v>-9.8718847972368309</v>
      </c>
    </row>
    <row r="44" spans="1:7" ht="12.75" customHeight="1">
      <c r="A44" s="2">
        <f>+'2H filtrado'!C15</f>
        <v>14</v>
      </c>
      <c r="B44" s="2" t="str">
        <f>+'2H filtrado'!D15</f>
        <v>A017</v>
      </c>
      <c r="C44" s="5">
        <f>+'2H filtrado'!N15</f>
        <v>139.227</v>
      </c>
      <c r="D44" s="5">
        <f t="shared" si="0"/>
        <v>-94.020455154957673</v>
      </c>
      <c r="F44" s="2" t="s">
        <v>76</v>
      </c>
      <c r="G44" s="4">
        <f t="shared" si="1"/>
        <v>-32.530249728392633</v>
      </c>
    </row>
    <row r="45" spans="1:7" ht="12.75" customHeight="1">
      <c r="A45" s="2">
        <f>+'2H filtrado'!C16</f>
        <v>15</v>
      </c>
      <c r="B45" s="2" t="str">
        <f>+'2H filtrado'!D16</f>
        <v>A018</v>
      </c>
      <c r="C45" s="5">
        <f>+'2H filtrado'!N16</f>
        <v>160.904</v>
      </c>
      <c r="D45" s="5">
        <f t="shared" si="0"/>
        <v>-76.43014710185841</v>
      </c>
      <c r="F45" s="2" t="s">
        <v>79</v>
      </c>
      <c r="G45" s="4">
        <f t="shared" si="1"/>
        <v>-13.435064326745479</v>
      </c>
    </row>
    <row r="46" spans="1:7" ht="12.75" customHeight="1">
      <c r="A46" s="2">
        <f>+'2H filtrado'!C17</f>
        <v>16</v>
      </c>
      <c r="B46" s="2" t="str">
        <f>+'2H filtrado'!D17</f>
        <v>A018</v>
      </c>
      <c r="C46" s="5">
        <f>+'2H filtrado'!N17</f>
        <v>163.23500000000001</v>
      </c>
      <c r="D46" s="5">
        <f t="shared" si="0"/>
        <v>-74.538602696646677</v>
      </c>
      <c r="F46" s="2" t="s">
        <v>84</v>
      </c>
      <c r="G46" s="4">
        <f t="shared" si="1"/>
        <v>-114.93902119946658</v>
      </c>
    </row>
    <row r="47" spans="1:7" ht="12.75" customHeight="1">
      <c r="A47" s="2">
        <f>+'2H filtrado'!C18</f>
        <v>17</v>
      </c>
      <c r="B47" s="2" t="str">
        <f>+'2H filtrado'!D18</f>
        <v>A019</v>
      </c>
      <c r="C47" s="5">
        <f>+'2H filtrado'!N18</f>
        <v>211.91399999999999</v>
      </c>
      <c r="D47" s="5">
        <f t="shared" si="0"/>
        <v>-35.036890941476727</v>
      </c>
      <c r="F47" s="2" t="s">
        <v>87</v>
      </c>
      <c r="G47" s="4">
        <f t="shared" si="1"/>
        <v>-6.7189050518699851</v>
      </c>
    </row>
    <row r="48" spans="1:7" ht="12.75" customHeight="1">
      <c r="A48" s="2">
        <f>+'2H filtrado'!C19</f>
        <v>18</v>
      </c>
      <c r="B48" s="2" t="str">
        <f>+'2H filtrado'!D19</f>
        <v>A019</v>
      </c>
      <c r="C48" s="5">
        <f>+'2H filtrado'!N19</f>
        <v>211.29300000000001</v>
      </c>
      <c r="D48" s="5">
        <f t="shared" si="0"/>
        <v>-35.540815898849715</v>
      </c>
      <c r="F48" s="2" t="s">
        <v>90</v>
      </c>
      <c r="G48" s="4">
        <f t="shared" si="1"/>
        <v>-16.660265201268849</v>
      </c>
    </row>
    <row r="49" spans="1:7" ht="12.75" customHeight="1">
      <c r="A49" s="2">
        <f>+'2H filtrado'!C20</f>
        <v>19</v>
      </c>
      <c r="B49" s="2" t="str">
        <f>+'2H filtrado'!D20</f>
        <v>A020</v>
      </c>
      <c r="C49" s="5">
        <f>+'2H filtrado'!N20</f>
        <v>235.43600000000001</v>
      </c>
      <c r="D49" s="5">
        <f t="shared" si="0"/>
        <v>-15.949414536761987</v>
      </c>
      <c r="F49" s="2" t="s">
        <v>93</v>
      </c>
      <c r="G49" s="4">
        <f t="shared" si="1"/>
        <v>-23.825980718309637</v>
      </c>
    </row>
    <row r="50" spans="1:7" ht="12.75" customHeight="1">
      <c r="A50" s="2">
        <f>+'2H filtrado'!C21</f>
        <v>20</v>
      </c>
      <c r="B50" s="2" t="str">
        <f>+'2H filtrado'!D21</f>
        <v>A020</v>
      </c>
      <c r="C50" s="5">
        <f>+'2H filtrado'!N21</f>
        <v>236.018</v>
      </c>
      <c r="D50" s="5">
        <f t="shared" si="0"/>
        <v>-15.477137040480045</v>
      </c>
      <c r="F50" s="2" t="s">
        <v>96</v>
      </c>
      <c r="G50" s="4">
        <f t="shared" si="1"/>
        <v>-24.538860066219748</v>
      </c>
    </row>
    <row r="51" spans="1:7" ht="12.75" customHeight="1">
      <c r="A51" s="2">
        <f>+'2H filtrado'!C22</f>
        <v>21</v>
      </c>
      <c r="B51" s="2" t="str">
        <f>+'2H filtrado'!D22</f>
        <v>A021</v>
      </c>
      <c r="C51" s="5">
        <f>+'2H filtrado'!N22</f>
        <v>189.78299999999999</v>
      </c>
      <c r="D51" s="5">
        <f t="shared" si="0"/>
        <v>-52.995607900610366</v>
      </c>
      <c r="F51" s="2" t="s">
        <v>101</v>
      </c>
      <c r="G51" s="4">
        <f t="shared" si="1"/>
        <v>-10.139671006468859</v>
      </c>
    </row>
    <row r="52" spans="1:7" ht="12.75" customHeight="1">
      <c r="A52" s="2">
        <f>+'2H filtrado'!C23</f>
        <v>22</v>
      </c>
      <c r="B52" s="2" t="str">
        <f>+'2H filtrado'!D23</f>
        <v>A021</v>
      </c>
      <c r="C52" s="5">
        <f>+'2H filtrado'!N23</f>
        <v>188.40700000000001</v>
      </c>
      <c r="D52" s="5">
        <f t="shared" si="0"/>
        <v>-54.112195245771794</v>
      </c>
      <c r="F52" s="2" t="s">
        <v>104</v>
      </c>
      <c r="G52" s="4">
        <f t="shared" si="1"/>
        <v>-39.185142764489292</v>
      </c>
    </row>
    <row r="53" spans="1:7" ht="12.75" customHeight="1">
      <c r="A53" s="2">
        <f>+'2H filtrado'!C24</f>
        <v>23</v>
      </c>
      <c r="B53" s="2" t="str">
        <f>+'2H filtrado'!D24</f>
        <v>Buenos Aires</v>
      </c>
      <c r="C53" s="5">
        <f>+'2H filtrado'!N24</f>
        <v>204.577</v>
      </c>
      <c r="D53" s="5">
        <f t="shared" si="0"/>
        <v>-40.990670993402233</v>
      </c>
      <c r="F53" s="2" t="s">
        <v>107</v>
      </c>
      <c r="G53" s="4">
        <f t="shared" si="1"/>
        <v>-109.50904720226615</v>
      </c>
    </row>
    <row r="54" spans="1:7" ht="12.75" customHeight="1">
      <c r="A54" s="2">
        <f>+'2H filtrado'!C25</f>
        <v>24</v>
      </c>
      <c r="B54" s="2" t="str">
        <f>+'2H filtrado'!D25</f>
        <v>Buenos Aires</v>
      </c>
      <c r="C54" s="5">
        <f>+'2H filtrado'!N25</f>
        <v>206.81100000000001</v>
      </c>
      <c r="D54" s="5">
        <f t="shared" si="0"/>
        <v>-39.177839504237497</v>
      </c>
      <c r="F54" s="2" t="s">
        <v>110</v>
      </c>
      <c r="G54" s="4">
        <f t="shared" si="1"/>
        <v>-94.613236445394023</v>
      </c>
    </row>
    <row r="55" spans="1:7" ht="12.75" customHeight="1">
      <c r="A55" s="2">
        <f>+'2H filtrado'!C26</f>
        <v>25</v>
      </c>
      <c r="B55" s="2" t="str">
        <f>+'2H filtrado'!D26</f>
        <v>A022</v>
      </c>
      <c r="C55" s="5">
        <f>+'2H filtrado'!N26</f>
        <v>163.22800000000001</v>
      </c>
      <c r="D55" s="5">
        <f t="shared" si="0"/>
        <v>-74.544283010175846</v>
      </c>
      <c r="F55" s="2" t="s">
        <v>113</v>
      </c>
      <c r="G55" s="4">
        <f t="shared" si="1"/>
        <v>-56.182263790471538</v>
      </c>
    </row>
    <row r="56" spans="1:7" ht="12.75" customHeight="1">
      <c r="A56" s="2">
        <f>+'2H filtrado'!C27</f>
        <v>26</v>
      </c>
      <c r="B56" s="2" t="str">
        <f>+'2H filtrado'!D27</f>
        <v>A022</v>
      </c>
      <c r="C56" s="5">
        <f>+'2H filtrado'!N27</f>
        <v>159.066</v>
      </c>
      <c r="D56" s="5">
        <f t="shared" si="0"/>
        <v>-77.921635139944684</v>
      </c>
      <c r="F56" s="2" t="s">
        <v>118</v>
      </c>
      <c r="G56" s="4">
        <f t="shared" si="1"/>
        <v>-11.46602421552873</v>
      </c>
    </row>
    <row r="57" spans="1:7" ht="12.75" customHeight="1">
      <c r="A57" s="2">
        <f>+'2H filtrado'!C28</f>
        <v>27</v>
      </c>
      <c r="B57" s="2" t="str">
        <f>+'2H filtrado'!D28</f>
        <v>A023</v>
      </c>
      <c r="C57" s="5">
        <f>+'2H filtrado'!N28</f>
        <v>120.36199999999999</v>
      </c>
      <c r="D57" s="5">
        <f t="shared" si="0"/>
        <v>-109.32890011605551</v>
      </c>
      <c r="F57" s="2" t="s">
        <v>121</v>
      </c>
      <c r="G57" s="4">
        <f t="shared" si="1"/>
        <v>-3.8819941807330558</v>
      </c>
    </row>
    <row r="58" spans="1:7" ht="12.75" customHeight="1">
      <c r="A58" s="2">
        <f>+'2H filtrado'!C29</f>
        <v>28</v>
      </c>
      <c r="B58" s="2" t="str">
        <f>+'2H filtrado'!D29</f>
        <v>A023</v>
      </c>
      <c r="C58" s="5">
        <f>+'2H filtrado'!N29</f>
        <v>117.697</v>
      </c>
      <c r="D58" s="5">
        <f t="shared" si="0"/>
        <v>-111.49147662394449</v>
      </c>
      <c r="F58" s="2" t="s">
        <v>124</v>
      </c>
      <c r="G58" s="4">
        <f t="shared" si="1"/>
        <v>9.7231681949767967</v>
      </c>
    </row>
    <row r="59" spans="1:7" ht="12.75" customHeight="1">
      <c r="A59" s="2">
        <f>+'2H filtrado'!C30</f>
        <v>29</v>
      </c>
      <c r="B59" s="2" t="str">
        <f>+'2H filtrado'!D30</f>
        <v>A024</v>
      </c>
      <c r="C59" s="5">
        <f>+'2H filtrado'!N30</f>
        <v>187.155</v>
      </c>
      <c r="D59" s="5">
        <f t="shared" si="0"/>
        <v>-55.128159894130903</v>
      </c>
      <c r="F59" s="2" t="s">
        <v>127</v>
      </c>
      <c r="G59" s="4">
        <f t="shared" si="1"/>
        <v>-12.144010208902554</v>
      </c>
    </row>
    <row r="60" spans="1:7" ht="12.75" customHeight="1">
      <c r="A60" s="2">
        <f>+'2H filtrado'!C31</f>
        <v>30</v>
      </c>
      <c r="B60" s="2" t="str">
        <f>+'2H filtrado'!D31</f>
        <v>A024</v>
      </c>
      <c r="C60" s="5">
        <f>+'2H filtrado'!N31</f>
        <v>186.22900000000001</v>
      </c>
      <c r="D60" s="5">
        <f t="shared" si="0"/>
        <v>-55.879584226703201</v>
      </c>
      <c r="F60" s="2" t="s">
        <v>130</v>
      </c>
      <c r="G60" s="4">
        <f t="shared" si="1"/>
        <v>-23.621489431259715</v>
      </c>
    </row>
    <row r="61" spans="1:7" ht="12.75" customHeight="1">
      <c r="A61" s="2">
        <f>+'2H filtrado'!C32</f>
        <v>31</v>
      </c>
      <c r="B61" s="2" t="str">
        <f>+'2H filtrado'!D32</f>
        <v>A025</v>
      </c>
      <c r="C61" s="5">
        <f>+'2H filtrado'!N32</f>
        <v>230.29599999999999</v>
      </c>
      <c r="D61" s="5">
        <f t="shared" si="0"/>
        <v>-20.120387613891225</v>
      </c>
      <c r="F61" s="2" t="s">
        <v>135</v>
      </c>
      <c r="G61" s="4">
        <f t="shared" si="1"/>
        <v>-43.949708605416191</v>
      </c>
    </row>
    <row r="62" spans="1:7" ht="12.75" customHeight="1">
      <c r="A62" s="2">
        <f>+'2H filtrado'!C33</f>
        <v>32</v>
      </c>
      <c r="B62" s="2" t="str">
        <f>+'2H filtrado'!D33</f>
        <v>A025</v>
      </c>
      <c r="C62" s="5">
        <f>+'2H filtrado'!N33</f>
        <v>228.37299999999999</v>
      </c>
      <c r="D62" s="5">
        <f t="shared" si="0"/>
        <v>-21.680850887688795</v>
      </c>
      <c r="F62" s="2" t="s">
        <v>138</v>
      </c>
      <c r="G62" s="4">
        <f t="shared" si="1"/>
        <v>-34.380003255496931</v>
      </c>
    </row>
    <row r="63" spans="1:7" ht="12.75" customHeight="1">
      <c r="A63" s="2">
        <f>+'2H filtrado'!C34</f>
        <v>33</v>
      </c>
      <c r="B63" s="2" t="str">
        <f>+'2H filtrado'!D34</f>
        <v>A026</v>
      </c>
      <c r="C63" s="5">
        <f>+'2H filtrado'!N34</f>
        <v>217.00700000000001</v>
      </c>
      <c r="D63" s="5">
        <f t="shared" si="0"/>
        <v>-30.904057112329017</v>
      </c>
      <c r="F63" s="2" t="s">
        <v>141</v>
      </c>
      <c r="G63" s="4">
        <f t="shared" si="1"/>
        <v>-90.456869888768367</v>
      </c>
    </row>
    <row r="64" spans="1:7">
      <c r="A64" s="2">
        <f>+'2H filtrado'!C35</f>
        <v>34</v>
      </c>
      <c r="B64" s="2" t="str">
        <f>+'2H filtrado'!D35</f>
        <v>A026</v>
      </c>
      <c r="C64" s="5">
        <f>+'2H filtrado'!N35</f>
        <v>215.328</v>
      </c>
      <c r="D64" s="5">
        <f t="shared" si="0"/>
        <v>-32.266520885967147</v>
      </c>
      <c r="F64" s="2" t="s">
        <v>144</v>
      </c>
      <c r="G64" s="4">
        <f t="shared" si="1"/>
        <v>-76.389979170473595</v>
      </c>
    </row>
    <row r="65" spans="1:7">
      <c r="A65" s="2">
        <f>+'2H filtrado'!C36</f>
        <v>35</v>
      </c>
      <c r="B65" s="2" t="str">
        <f>+'2H filtrado'!D36</f>
        <v>Buenos Aires</v>
      </c>
      <c r="C65" s="5">
        <f>+'2H filtrado'!N36</f>
        <v>207.22200000000001</v>
      </c>
      <c r="D65" s="5">
        <f t="shared" si="0"/>
        <v>-38.844323952739416</v>
      </c>
      <c r="F65" s="2" t="s">
        <v>147</v>
      </c>
      <c r="G65" s="4">
        <f t="shared" si="1"/>
        <v>-51.855082091290285</v>
      </c>
    </row>
    <row r="66" spans="1:7">
      <c r="A66" s="2">
        <f>+'2H filtrado'!C37</f>
        <v>36</v>
      </c>
      <c r="B66" s="2" t="str">
        <f>+'2H filtrado'!D37</f>
        <v>Buenos Aires</v>
      </c>
      <c r="C66" s="5">
        <f>+'2H filtrado'!N37</f>
        <v>205.64</v>
      </c>
      <c r="D66" s="5">
        <f t="shared" si="0"/>
        <v>-40.128074810330574</v>
      </c>
      <c r="F66" s="2" t="s">
        <v>152</v>
      </c>
      <c r="G66" s="4">
        <f t="shared" si="1"/>
        <v>-30.740950966705874</v>
      </c>
    </row>
    <row r="67" spans="1:7">
      <c r="A67" s="2">
        <f>+'2H filtrado'!C38</f>
        <v>37</v>
      </c>
      <c r="B67" s="2" t="str">
        <f>+'2H filtrado'!D38</f>
        <v>A027</v>
      </c>
      <c r="C67" s="5">
        <f>+'2H filtrado'!N38</f>
        <v>232.46899999999999</v>
      </c>
      <c r="D67" s="5">
        <f t="shared" si="0"/>
        <v>-18.357055999766359</v>
      </c>
      <c r="F67" s="2" t="s">
        <v>155</v>
      </c>
      <c r="G67" s="4">
        <f t="shared" si="1"/>
        <v>-24.39279486118409</v>
      </c>
    </row>
    <row r="68" spans="1:7">
      <c r="A68" s="2">
        <f>+'2H filtrado'!C39</f>
        <v>38</v>
      </c>
      <c r="B68" s="2" t="str">
        <f>+'2H filtrado'!D39</f>
        <v>A027</v>
      </c>
      <c r="C68" s="5">
        <f>+'2H filtrado'!N39</f>
        <v>234.97</v>
      </c>
      <c r="D68" s="5">
        <f t="shared" si="0"/>
        <v>-16.327561123132075</v>
      </c>
      <c r="F68" s="2" t="s">
        <v>158</v>
      </c>
      <c r="G68" s="4">
        <f t="shared" si="1"/>
        <v>-29.110700983835716</v>
      </c>
    </row>
    <row r="69" spans="1:7">
      <c r="A69" s="2">
        <f>+'2H filtrado'!C40</f>
        <v>39</v>
      </c>
      <c r="B69" s="2" t="str">
        <f>+'2H filtrado'!D40</f>
        <v>A028</v>
      </c>
      <c r="C69" s="5">
        <f>+'2H filtrado'!N40</f>
        <v>221.518</v>
      </c>
      <c r="D69" s="5">
        <f t="shared" si="0"/>
        <v>-27.243500779463272</v>
      </c>
      <c r="F69" s="2" t="s">
        <v>161</v>
      </c>
      <c r="G69" s="4">
        <f t="shared" si="1"/>
        <v>-15.921418705796825</v>
      </c>
    </row>
    <row r="70" spans="1:7">
      <c r="A70" s="2">
        <f>+'2H filtrado'!C41</f>
        <v>40</v>
      </c>
      <c r="B70" s="2" t="str">
        <f>+'2H filtrado'!D41</f>
        <v>A028</v>
      </c>
      <c r="C70" s="5">
        <f>+'2H filtrado'!N41</f>
        <v>218.71299999999999</v>
      </c>
      <c r="D70" s="5">
        <f t="shared" si="0"/>
        <v>-29.519683557935551</v>
      </c>
      <c r="F70" s="2" t="s">
        <v>164</v>
      </c>
      <c r="G70" s="4">
        <f t="shared" si="1"/>
        <v>-14.428713457668572</v>
      </c>
    </row>
    <row r="71" spans="1:7">
      <c r="A71" s="2">
        <f>+'2H filtrado'!C42</f>
        <v>41</v>
      </c>
      <c r="B71" s="2" t="str">
        <f>+'2H filtrado'!D42</f>
        <v>A029</v>
      </c>
      <c r="C71" s="5">
        <f>+'2H filtrado'!N42</f>
        <v>242.33099999999999</v>
      </c>
      <c r="D71" s="5">
        <f t="shared" si="0"/>
        <v>-10.354305710535151</v>
      </c>
      <c r="F71" s="2" t="s">
        <v>169</v>
      </c>
      <c r="G71" s="4">
        <f t="shared" si="1"/>
        <v>-14.848650922146089</v>
      </c>
    </row>
    <row r="72" spans="1:7">
      <c r="A72" s="2">
        <f>+'2H filtrado'!C43</f>
        <v>42</v>
      </c>
      <c r="B72" s="2" t="str">
        <f>+'2H filtrado'!D43</f>
        <v>A029</v>
      </c>
      <c r="C72" s="5">
        <f>+'2H filtrado'!N43</f>
        <v>243.52</v>
      </c>
      <c r="D72" s="5">
        <f t="shared" si="0"/>
        <v>-9.3894638839385092</v>
      </c>
      <c r="G72" s="4"/>
    </row>
    <row r="73" spans="1:7">
      <c r="A73" s="2">
        <f>+'2H filtrado'!C44</f>
        <v>43</v>
      </c>
      <c r="B73" s="2" t="str">
        <f>+'2H filtrado'!D44</f>
        <v>A030</v>
      </c>
      <c r="C73" s="5">
        <f>+'2H filtrado'!N44</f>
        <v>217.39</v>
      </c>
      <c r="D73" s="5">
        <f t="shared" si="0"/>
        <v>-30.593262814947611</v>
      </c>
      <c r="F73" s="2" t="s">
        <v>172</v>
      </c>
      <c r="G73" s="4">
        <f t="shared" si="1"/>
        <v>-7.7405500137582521</v>
      </c>
    </row>
    <row r="74" spans="1:7">
      <c r="A74" s="2">
        <f>+'2H filtrado'!C45</f>
        <v>44</v>
      </c>
      <c r="B74" s="2" t="str">
        <f>+'2H filtrado'!D45</f>
        <v>A030</v>
      </c>
      <c r="C74" s="5">
        <f>+'2H filtrado'!N45</f>
        <v>212.61600000000001</v>
      </c>
      <c r="D74" s="5">
        <f t="shared" si="0"/>
        <v>-34.467236641837651</v>
      </c>
      <c r="F74" s="2" t="s">
        <v>175</v>
      </c>
      <c r="G74" s="4">
        <f t="shared" si="1"/>
        <v>-1.4804387679385205</v>
      </c>
    </row>
    <row r="75" spans="1:7">
      <c r="A75" s="2">
        <f>+'2H filtrado'!C46</f>
        <v>45</v>
      </c>
      <c r="B75" s="2" t="str">
        <f>+'2H filtrado'!D46</f>
        <v>A031</v>
      </c>
      <c r="C75" s="5">
        <f>+'2H filtrado'!N46</f>
        <v>239.2</v>
      </c>
      <c r="D75" s="5">
        <f t="shared" si="0"/>
        <v>-12.895028804794219</v>
      </c>
    </row>
    <row r="76" spans="1:7">
      <c r="A76" s="2">
        <f>+'2H filtrado'!C47</f>
        <v>46</v>
      </c>
      <c r="B76" s="2" t="str">
        <f>+'2H filtrado'!D47</f>
        <v>A031</v>
      </c>
      <c r="C76" s="5">
        <f>+'2H filtrado'!N47</f>
        <v>237.869</v>
      </c>
      <c r="D76" s="5">
        <f t="shared" si="0"/>
        <v>-13.975099848696738</v>
      </c>
    </row>
    <row r="77" spans="1:7">
      <c r="A77" s="2">
        <f>+'2H filtrado'!C48</f>
        <v>47</v>
      </c>
      <c r="B77" s="2" t="str">
        <f>+'2H filtrado'!D48</f>
        <v>Buenos Aires</v>
      </c>
      <c r="C77" s="5">
        <f>+'2H filtrado'!N48</f>
        <v>208.91499999999999</v>
      </c>
      <c r="D77" s="5">
        <f t="shared" si="0"/>
        <v>-37.470499552042973</v>
      </c>
    </row>
    <row r="78" spans="1:7">
      <c r="A78" s="2">
        <f>+'2H filtrado'!C49</f>
        <v>48</v>
      </c>
      <c r="B78" s="2" t="str">
        <f>+'2H filtrado'!D49</f>
        <v>Buenos Aires</v>
      </c>
      <c r="C78" s="5">
        <f>+'2H filtrado'!N49</f>
        <v>206.69800000000001</v>
      </c>
      <c r="D78" s="5">
        <f t="shared" si="0"/>
        <v>-39.269535994065436</v>
      </c>
    </row>
    <row r="79" spans="1:7">
      <c r="A79" s="2">
        <f>+'2H filtrado'!C50</f>
        <v>49</v>
      </c>
      <c r="B79" s="2" t="str">
        <f>+'2H filtrado'!D50</f>
        <v>A032</v>
      </c>
      <c r="C79" s="5">
        <f>+'2H filtrado'!N50</f>
        <v>114.27800000000001</v>
      </c>
      <c r="D79" s="5">
        <f t="shared" si="0"/>
        <v>-114.26590404626062</v>
      </c>
    </row>
    <row r="80" spans="1:7">
      <c r="A80" s="2">
        <f>+'2H filtrado'!C51</f>
        <v>50</v>
      </c>
      <c r="B80" s="2" t="str">
        <f>+'2H filtrado'!D51</f>
        <v>A032</v>
      </c>
      <c r="C80" s="5">
        <f>+'2H filtrado'!N51</f>
        <v>112.619</v>
      </c>
      <c r="D80" s="5">
        <f t="shared" si="0"/>
        <v>-115.61213835267255</v>
      </c>
    </row>
    <row r="81" spans="1:4">
      <c r="A81" s="2">
        <f>+'2H filtrado'!C52</f>
        <v>51</v>
      </c>
      <c r="B81" s="2" t="str">
        <f>+'2H filtrado'!D52</f>
        <v>A033</v>
      </c>
      <c r="C81" s="5">
        <f>+'2H filtrado'!N52</f>
        <v>246.45599999999999</v>
      </c>
      <c r="D81" s="5">
        <f t="shared" si="0"/>
        <v>-7.00697809513475</v>
      </c>
    </row>
    <row r="82" spans="1:4">
      <c r="A82" s="2">
        <f>+'2H filtrado'!C53</f>
        <v>52</v>
      </c>
      <c r="B82" s="2" t="str">
        <f>+'2H filtrado'!D53</f>
        <v>A033</v>
      </c>
      <c r="C82" s="5">
        <f>+'2H filtrado'!N53</f>
        <v>247.166</v>
      </c>
      <c r="D82" s="5">
        <f t="shared" si="0"/>
        <v>-6.4308320086052193</v>
      </c>
    </row>
    <row r="83" spans="1:4">
      <c r="A83" s="2">
        <f>+'2H filtrado'!C54</f>
        <v>53</v>
      </c>
      <c r="B83" s="2" t="str">
        <f>+'2H filtrado'!D54</f>
        <v>A034</v>
      </c>
      <c r="C83" s="5">
        <f>+'2H filtrado'!N54</f>
        <v>234.81299999999999</v>
      </c>
      <c r="D83" s="5">
        <f t="shared" si="0"/>
        <v>-16.454962440857628</v>
      </c>
    </row>
    <row r="84" spans="1:4">
      <c r="A84" s="2">
        <f>+'2H filtrado'!C55</f>
        <v>54</v>
      </c>
      <c r="B84" s="2" t="str">
        <f>+'2H filtrado'!D55</f>
        <v>A034</v>
      </c>
      <c r="C84" s="5">
        <f>+'2H filtrado'!N55</f>
        <v>234.30699999999999</v>
      </c>
      <c r="D84" s="5">
        <f t="shared" si="0"/>
        <v>-16.865567961680075</v>
      </c>
    </row>
    <row r="85" spans="1:4">
      <c r="A85" s="2">
        <f>+'2H filtrado'!C56</f>
        <v>55</v>
      </c>
      <c r="B85" s="2" t="str">
        <f>+'2H filtrado'!D56</f>
        <v>A035</v>
      </c>
      <c r="C85" s="5">
        <f>+'2H filtrado'!N56</f>
        <v>226.17</v>
      </c>
      <c r="D85" s="5">
        <f t="shared" si="0"/>
        <v>-23.468526702652941</v>
      </c>
    </row>
    <row r="86" spans="1:4">
      <c r="A86" s="2">
        <f>+'2H filtrado'!C57</f>
        <v>56</v>
      </c>
      <c r="B86" s="2" t="str">
        <f>+'2H filtrado'!D57</f>
        <v>A035</v>
      </c>
      <c r="C86" s="5">
        <f>+'2H filtrado'!N57</f>
        <v>225.28899999999999</v>
      </c>
      <c r="D86" s="5">
        <f t="shared" si="0"/>
        <v>-24.183434733966337</v>
      </c>
    </row>
    <row r="87" spans="1:4">
      <c r="A87" s="2">
        <f>+'2H filtrado'!C58</f>
        <v>57</v>
      </c>
      <c r="B87" s="2" t="str">
        <f>+'2H filtrado'!D58</f>
        <v>A036</v>
      </c>
      <c r="C87" s="5">
        <f>+'2H filtrado'!N58</f>
        <v>223.846</v>
      </c>
      <c r="D87" s="5">
        <f t="shared" si="0"/>
        <v>-25.35439079433548</v>
      </c>
    </row>
    <row r="88" spans="1:4">
      <c r="A88" s="2">
        <f>+'2H filtrado'!C59</f>
        <v>58</v>
      </c>
      <c r="B88" s="2" t="str">
        <f>+'2H filtrado'!D59</f>
        <v>A036</v>
      </c>
      <c r="C88" s="5">
        <f>+'2H filtrado'!N59</f>
        <v>225.85599999999999</v>
      </c>
      <c r="D88" s="5">
        <f t="shared" si="0"/>
        <v>-23.723329338104019</v>
      </c>
    </row>
    <row r="89" spans="1:4">
      <c r="A89" s="2">
        <f>+'2H filtrado'!C60</f>
        <v>59</v>
      </c>
      <c r="B89" s="2" t="str">
        <f>+'2H filtrado'!D60</f>
        <v>Buenos Aires</v>
      </c>
      <c r="C89" s="5">
        <f>+'2H filtrado'!N60</f>
        <v>207.31800000000001</v>
      </c>
      <c r="D89" s="5">
        <f t="shared" si="0"/>
        <v>-38.766422510053737</v>
      </c>
    </row>
    <row r="90" spans="1:4">
      <c r="A90" s="2">
        <f>+'2H filtrado'!C61</f>
        <v>60</v>
      </c>
      <c r="B90" s="2" t="str">
        <f>+'2H filtrado'!D61</f>
        <v>Buenos Aires</v>
      </c>
      <c r="C90" s="5">
        <f>+'2H filtrado'!N61</f>
        <v>207.26499999999999</v>
      </c>
      <c r="D90" s="5">
        <f t="shared" si="0"/>
        <v>-38.809430598203143</v>
      </c>
    </row>
    <row r="91" spans="1:4">
      <c r="A91" s="2">
        <f>+'2H filtrado'!C62</f>
        <v>61</v>
      </c>
      <c r="B91" s="2" t="str">
        <f>+'2H filtrado'!D62</f>
        <v>A037</v>
      </c>
      <c r="C91" s="5">
        <f>+'2H filtrado'!N62</f>
        <v>242.09399999999999</v>
      </c>
      <c r="D91" s="5">
        <f t="shared" si="0"/>
        <v>-10.546624897165424</v>
      </c>
    </row>
    <row r="92" spans="1:4">
      <c r="A92" s="2">
        <f>+'2H filtrado'!C63</f>
        <v>62</v>
      </c>
      <c r="B92" s="2" t="str">
        <f>+'2H filtrado'!D63</f>
        <v>A037</v>
      </c>
      <c r="C92" s="5">
        <f>+'2H filtrado'!N63</f>
        <v>243.09700000000001</v>
      </c>
      <c r="D92" s="5">
        <f t="shared" si="0"/>
        <v>-9.7327171157722958</v>
      </c>
    </row>
    <row r="93" spans="1:4">
      <c r="A93" s="2">
        <f>+'2H filtrado'!C64</f>
        <v>63</v>
      </c>
      <c r="B93" s="2" t="str">
        <f>+'2H filtrado'!D64</f>
        <v>A038</v>
      </c>
      <c r="C93" s="5">
        <f>+'2H filtrado'!N64</f>
        <v>206.291</v>
      </c>
      <c r="D93" s="5">
        <f t="shared" si="0"/>
        <v>-39.599805652118285</v>
      </c>
    </row>
    <row r="94" spans="1:4">
      <c r="A94" s="2">
        <f>+'2H filtrado'!C65</f>
        <v>64</v>
      </c>
      <c r="B94" s="2" t="str">
        <f>+'2H filtrado'!D65</f>
        <v>A038</v>
      </c>
      <c r="C94" s="5">
        <f>+'2H filtrado'!N65</f>
        <v>207.31299999999999</v>
      </c>
      <c r="D94" s="5">
        <f t="shared" si="0"/>
        <v>-38.7704798768603</v>
      </c>
    </row>
    <row r="95" spans="1:4">
      <c r="A95" s="2">
        <f>+'2H filtrado'!C66</f>
        <v>65</v>
      </c>
      <c r="B95" s="2" t="str">
        <f>+'2H filtrado'!D66</f>
        <v>A039</v>
      </c>
      <c r="C95" s="5">
        <f>+'2H filtrado'!N66</f>
        <v>120.125</v>
      </c>
      <c r="D95" s="5">
        <f t="shared" ref="D95:D158" si="2">+(C95-$N$22)/$N$21</f>
        <v>-109.52121930268578</v>
      </c>
    </row>
    <row r="96" spans="1:4">
      <c r="A96" s="2">
        <f>+'2H filtrado'!C67</f>
        <v>66</v>
      </c>
      <c r="B96" s="2" t="str">
        <f>+'2H filtrado'!D67</f>
        <v>A039</v>
      </c>
      <c r="C96" s="5">
        <f>+'2H filtrado'!N67</f>
        <v>120.155</v>
      </c>
      <c r="D96" s="5">
        <f t="shared" si="2"/>
        <v>-109.4968751018465</v>
      </c>
    </row>
    <row r="97" spans="1:4">
      <c r="A97" s="2">
        <f>+'2H filtrado'!C68</f>
        <v>67</v>
      </c>
      <c r="B97" s="2" t="str">
        <f>+'2H filtrado'!D68</f>
        <v>A040</v>
      </c>
      <c r="C97" s="5">
        <f>+'2H filtrado'!N68</f>
        <v>138.559</v>
      </c>
      <c r="D97" s="5">
        <f t="shared" si="2"/>
        <v>-94.562519360312209</v>
      </c>
    </row>
    <row r="98" spans="1:4">
      <c r="A98" s="2">
        <f>+'2H filtrado'!C69</f>
        <v>68</v>
      </c>
      <c r="B98" s="2" t="str">
        <f>+'2H filtrado'!D69</f>
        <v>A040</v>
      </c>
      <c r="C98" s="5">
        <f>+'2H filtrado'!N69</f>
        <v>138.434</v>
      </c>
      <c r="D98" s="5">
        <f t="shared" si="2"/>
        <v>-94.663953530475851</v>
      </c>
    </row>
    <row r="99" spans="1:4">
      <c r="A99" s="2">
        <f>+'2H filtrado'!C70</f>
        <v>69</v>
      </c>
      <c r="B99" s="2" t="str">
        <f>+'2H filtrado'!D70</f>
        <v>A041</v>
      </c>
      <c r="C99" s="5">
        <f>+'2H filtrado'!N70</f>
        <v>184.18199999999999</v>
      </c>
      <c r="D99" s="5">
        <f t="shared" si="2"/>
        <v>-57.540670197303129</v>
      </c>
    </row>
    <row r="100" spans="1:4">
      <c r="A100" s="2">
        <f>+'2H filtrado'!C71</f>
        <v>70</v>
      </c>
      <c r="B100" s="2" t="str">
        <f>+'2H filtrado'!D71</f>
        <v>A041</v>
      </c>
      <c r="C100" s="5">
        <f>+'2H filtrado'!N71</f>
        <v>187.53</v>
      </c>
      <c r="D100" s="5">
        <f t="shared" si="2"/>
        <v>-54.823857383639954</v>
      </c>
    </row>
    <row r="101" spans="1:4">
      <c r="A101" s="2">
        <f>+'2H filtrado'!C72</f>
        <v>71</v>
      </c>
      <c r="B101" s="2" t="str">
        <f>+'2H filtrado'!D72</f>
        <v>Buenos Aires</v>
      </c>
      <c r="C101" s="5">
        <f>+'2H filtrado'!N72</f>
        <v>206.42</v>
      </c>
      <c r="D101" s="5">
        <f t="shared" si="2"/>
        <v>-39.495125588509403</v>
      </c>
    </row>
    <row r="102" spans="1:4">
      <c r="A102" s="2">
        <f>+'2H filtrado'!C73</f>
        <v>72</v>
      </c>
      <c r="B102" s="2" t="str">
        <f>+'2H filtrado'!D73</f>
        <v>Buenos Aires</v>
      </c>
      <c r="C102" s="5">
        <f>+'2H filtrado'!N73</f>
        <v>206.70099999999999</v>
      </c>
      <c r="D102" s="5">
        <f t="shared" si="2"/>
        <v>-39.26710157398152</v>
      </c>
    </row>
    <row r="103" spans="1:4">
      <c r="A103" s="2">
        <f>+'2H filtrado'!C74</f>
        <v>73</v>
      </c>
      <c r="B103" s="2" t="str">
        <f>+'2H filtrado'!D74</f>
        <v>A042</v>
      </c>
      <c r="C103" s="5">
        <f>+'2H filtrado'!N74</f>
        <v>239.143</v>
      </c>
      <c r="D103" s="5">
        <f t="shared" si="2"/>
        <v>-12.941282786388832</v>
      </c>
    </row>
    <row r="104" spans="1:4">
      <c r="A104" s="2">
        <f>+'2H filtrado'!C75</f>
        <v>74</v>
      </c>
      <c r="B104" s="2" t="str">
        <f>+'2H filtrado'!D75</f>
        <v>A042</v>
      </c>
      <c r="C104" s="5">
        <f>+'2H filtrado'!N75</f>
        <v>242.779</v>
      </c>
      <c r="D104" s="5">
        <f t="shared" si="2"/>
        <v>-9.9907656446686275</v>
      </c>
    </row>
    <row r="105" spans="1:4">
      <c r="A105" s="2">
        <f>+'2H filtrado'!C76</f>
        <v>75</v>
      </c>
      <c r="B105" s="2" t="str">
        <f>+'2H filtrado'!D76</f>
        <v>A043</v>
      </c>
      <c r="C105" s="5">
        <f>+'2H filtrado'!N76</f>
        <v>249.08500000000001</v>
      </c>
      <c r="D105" s="5">
        <f t="shared" si="2"/>
        <v>-4.8736146282528789</v>
      </c>
    </row>
    <row r="106" spans="1:4">
      <c r="A106" s="2">
        <f>+'2H filtrado'!C77</f>
        <v>76</v>
      </c>
      <c r="B106" s="2" t="str">
        <f>+'2H filtrado'!D77</f>
        <v>A043</v>
      </c>
      <c r="C106" s="5">
        <f>+'2H filtrado'!N77</f>
        <v>251.529</v>
      </c>
      <c r="D106" s="5">
        <f t="shared" si="2"/>
        <v>-2.8903737332132322</v>
      </c>
    </row>
    <row r="107" spans="1:4">
      <c r="A107" s="2">
        <f>+'2H filtrado'!C78</f>
        <v>77</v>
      </c>
      <c r="B107" s="2" t="str">
        <f>+'2H filtrado'!D78</f>
        <v>A044</v>
      </c>
      <c r="C107" s="5">
        <f>+'2H filtrado'!N78</f>
        <v>265.11900000000003</v>
      </c>
      <c r="D107" s="5">
        <f t="shared" si="2"/>
        <v>8.1375492469786597</v>
      </c>
    </row>
    <row r="108" spans="1:4">
      <c r="A108" s="2">
        <f>+'2H filtrado'!C79</f>
        <v>78</v>
      </c>
      <c r="B108" s="2" t="str">
        <f>+'2H filtrado'!D79</f>
        <v>A044</v>
      </c>
      <c r="C108" s="5">
        <f>+'2H filtrado'!N79</f>
        <v>269.02699999999999</v>
      </c>
      <c r="D108" s="5">
        <f t="shared" si="2"/>
        <v>11.308787142974934</v>
      </c>
    </row>
    <row r="109" spans="1:4">
      <c r="A109" s="2">
        <f>+'2H filtrado'!C80</f>
        <v>79</v>
      </c>
      <c r="B109" s="2" t="str">
        <f>+'2H filtrado'!D80</f>
        <v>A045</v>
      </c>
      <c r="C109" s="5">
        <f>+'2H filtrado'!N80</f>
        <v>242.71600000000001</v>
      </c>
      <c r="D109" s="5">
        <f t="shared" si="2"/>
        <v>-10.041888466431097</v>
      </c>
    </row>
    <row r="110" spans="1:4">
      <c r="A110" s="2">
        <f>+'2H filtrado'!C81</f>
        <v>80</v>
      </c>
      <c r="B110" s="2" t="str">
        <f>+'2H filtrado'!D81</f>
        <v>A045</v>
      </c>
      <c r="C110" s="5">
        <f>+'2H filtrado'!N81</f>
        <v>237.535</v>
      </c>
      <c r="D110" s="5">
        <f t="shared" si="2"/>
        <v>-14.246131951374011</v>
      </c>
    </row>
    <row r="111" spans="1:4">
      <c r="A111" s="2">
        <f>+'2H filtrado'!C82</f>
        <v>81</v>
      </c>
      <c r="B111" s="2" t="str">
        <f>+'2H filtrado'!D82</f>
        <v>A046</v>
      </c>
      <c r="C111" s="5">
        <f>+'2H filtrado'!N82</f>
        <v>224.952</v>
      </c>
      <c r="D111" s="5">
        <f t="shared" si="2"/>
        <v>-24.456901256727523</v>
      </c>
    </row>
    <row r="112" spans="1:4">
      <c r="A112" s="2">
        <f>+'2H filtrado'!C83</f>
        <v>82</v>
      </c>
      <c r="B112" s="2" t="str">
        <f>+'2H filtrado'!D83</f>
        <v>A046</v>
      </c>
      <c r="C112" s="5">
        <f>+'2H filtrado'!N83</f>
        <v>227.011</v>
      </c>
      <c r="D112" s="5">
        <f t="shared" si="2"/>
        <v>-22.786077605791906</v>
      </c>
    </row>
    <row r="113" spans="1:4">
      <c r="A113" s="2">
        <f>+'2H filtrado'!C84</f>
        <v>83</v>
      </c>
      <c r="B113" s="2" t="str">
        <f>+'2H filtrado'!D84</f>
        <v>Buenos Aires</v>
      </c>
      <c r="C113" s="5">
        <f>+'2H filtrado'!N84</f>
        <v>208.035</v>
      </c>
      <c r="D113" s="5">
        <f t="shared" si="2"/>
        <v>-38.184596109995056</v>
      </c>
    </row>
    <row r="114" spans="1:4">
      <c r="A114" s="2">
        <f>+'2H filtrado'!C85</f>
        <v>84</v>
      </c>
      <c r="B114" s="2" t="str">
        <f>+'2H filtrado'!D85</f>
        <v>Buenos Aires</v>
      </c>
      <c r="C114" s="5">
        <f>+'2H filtrado'!N85</f>
        <v>208.45599999999999</v>
      </c>
      <c r="D114" s="5">
        <f t="shared" si="2"/>
        <v>-37.842965824883898</v>
      </c>
    </row>
    <row r="115" spans="1:4">
      <c r="A115" s="2">
        <f>+'2H filtrado'!C86</f>
        <v>85</v>
      </c>
      <c r="B115" s="2" t="str">
        <f>+'2H filtrado'!D86</f>
        <v>A047</v>
      </c>
      <c r="C115" s="5">
        <f>+'2H filtrado'!N86</f>
        <v>202.392</v>
      </c>
      <c r="D115" s="5">
        <f t="shared" si="2"/>
        <v>-42.763740287862809</v>
      </c>
    </row>
    <row r="116" spans="1:4">
      <c r="A116" s="2">
        <f>+'2H filtrado'!C87</f>
        <v>86</v>
      </c>
      <c r="B116" s="2" t="str">
        <f>+'2H filtrado'!D87</f>
        <v>A047</v>
      </c>
      <c r="C116" s="5">
        <f>+'2H filtrado'!N87</f>
        <v>199.46899999999999</v>
      </c>
      <c r="D116" s="5">
        <f t="shared" si="2"/>
        <v>-45.135676922969566</v>
      </c>
    </row>
    <row r="117" spans="1:4">
      <c r="A117" s="2">
        <f>+'2H filtrado'!C88</f>
        <v>87</v>
      </c>
      <c r="B117" s="2" t="str">
        <f>+'2H filtrado'!D88</f>
        <v>A048</v>
      </c>
      <c r="C117" s="5">
        <f>+'2H filtrado'!N88</f>
        <v>213.63</v>
      </c>
      <c r="D117" s="5">
        <f t="shared" si="2"/>
        <v>-33.644402653470152</v>
      </c>
    </row>
    <row r="118" spans="1:4">
      <c r="A118" s="2">
        <f>+'2H filtrado'!C89</f>
        <v>88</v>
      </c>
      <c r="B118" s="2" t="str">
        <f>+'2H filtrado'!D89</f>
        <v>A048</v>
      </c>
      <c r="C118" s="5">
        <f>+'2H filtrado'!N89</f>
        <v>211.81700000000001</v>
      </c>
      <c r="D118" s="5">
        <f t="shared" si="2"/>
        <v>-35.115603857523702</v>
      </c>
    </row>
    <row r="119" spans="1:4">
      <c r="A119" s="2">
        <f>+'2H filtrado'!C90</f>
        <v>89</v>
      </c>
      <c r="B119" s="2" t="str">
        <f>+'2H filtrado'!D90</f>
        <v>A049</v>
      </c>
      <c r="C119" s="5">
        <f>+'2H filtrado'!N90</f>
        <v>144.554</v>
      </c>
      <c r="D119" s="5">
        <f t="shared" si="2"/>
        <v>-89.697736559263618</v>
      </c>
    </row>
    <row r="120" spans="1:4">
      <c r="A120" s="2">
        <f>+'2H filtrado'!C91</f>
        <v>90</v>
      </c>
      <c r="B120" s="2" t="str">
        <f>+'2H filtrado'!D91</f>
        <v>A049</v>
      </c>
      <c r="C120" s="5">
        <f>+'2H filtrado'!N91</f>
        <v>142.68299999999999</v>
      </c>
      <c r="D120" s="5">
        <f t="shared" si="2"/>
        <v>-91.216003218273116</v>
      </c>
    </row>
    <row r="121" spans="1:4">
      <c r="A121" s="2">
        <f>+'2H filtrado'!C92</f>
        <v>91</v>
      </c>
      <c r="B121" s="2" t="str">
        <f>+'2H filtrado'!D92</f>
        <v>A050</v>
      </c>
      <c r="C121" s="5">
        <f>+'2H filtrado'!N92</f>
        <v>160.869</v>
      </c>
      <c r="D121" s="5">
        <f t="shared" si="2"/>
        <v>-76.458548669504225</v>
      </c>
    </row>
    <row r="122" spans="1:4">
      <c r="A122" s="2">
        <f>+'2H filtrado'!C93</f>
        <v>92</v>
      </c>
      <c r="B122" s="2" t="str">
        <f>+'2H filtrado'!D93</f>
        <v>A050</v>
      </c>
      <c r="C122" s="5">
        <f>+'2H filtrado'!N93</f>
        <v>161.03800000000001</v>
      </c>
      <c r="D122" s="5">
        <f t="shared" si="2"/>
        <v>-76.321409671442964</v>
      </c>
    </row>
    <row r="123" spans="1:4">
      <c r="A123" s="2">
        <f>+'2H filtrado'!C94</f>
        <v>93</v>
      </c>
      <c r="B123" s="2" t="str">
        <f>+'2H filtrado'!D94</f>
        <v>A051</v>
      </c>
      <c r="C123" s="5">
        <f>+'2H filtrado'!N94</f>
        <v>190.273</v>
      </c>
      <c r="D123" s="5">
        <f t="shared" si="2"/>
        <v>-52.597985953568859</v>
      </c>
    </row>
    <row r="124" spans="1:4">
      <c r="A124" s="2">
        <f>+'2H filtrado'!C95</f>
        <v>94</v>
      </c>
      <c r="B124" s="2" t="str">
        <f>+'2H filtrado'!D95</f>
        <v>A051</v>
      </c>
      <c r="C124" s="5">
        <f>+'2H filtrado'!N95</f>
        <v>192.10400000000001</v>
      </c>
      <c r="D124" s="5">
        <f t="shared" si="2"/>
        <v>-51.112178229011718</v>
      </c>
    </row>
    <row r="125" spans="1:4">
      <c r="A125" s="2">
        <f>+'2H filtrado'!C96</f>
        <v>95</v>
      </c>
      <c r="B125" s="2" t="str">
        <f>+'2H filtrado'!D96</f>
        <v>Buenos Aires</v>
      </c>
      <c r="C125" s="5">
        <f>+'2H filtrado'!N96</f>
        <v>206.47499999999999</v>
      </c>
      <c r="D125" s="5">
        <f t="shared" si="2"/>
        <v>-39.450494553637391</v>
      </c>
    </row>
    <row r="126" spans="1:4">
      <c r="A126" s="2">
        <f>+'2H filtrado'!C97</f>
        <v>96</v>
      </c>
      <c r="B126" s="2" t="str">
        <f>+'2H filtrado'!D97</f>
        <v>Buenos Aires</v>
      </c>
      <c r="C126" s="5">
        <f>+'2H filtrado'!N97</f>
        <v>206.227</v>
      </c>
      <c r="D126" s="5">
        <f t="shared" si="2"/>
        <v>-39.651739947242064</v>
      </c>
    </row>
    <row r="127" spans="1:4">
      <c r="A127" s="2">
        <f>+'2H filtrado'!C98</f>
        <v>97</v>
      </c>
      <c r="B127" s="2" t="str">
        <f>+'2H filtrado'!D98</f>
        <v>A052</v>
      </c>
      <c r="C127" s="5">
        <f>+'2H filtrado'!N98</f>
        <v>216.63900000000001</v>
      </c>
      <c r="D127" s="5">
        <f t="shared" si="2"/>
        <v>-31.202679309290794</v>
      </c>
    </row>
    <row r="128" spans="1:4">
      <c r="A128" s="2">
        <f>+'2H filtrado'!C99</f>
        <v>98</v>
      </c>
      <c r="B128" s="2" t="str">
        <f>+'2H filtrado'!D99</f>
        <v>A052</v>
      </c>
      <c r="C128" s="5">
        <f>+'2H filtrado'!N99</f>
        <v>217.77699999999999</v>
      </c>
      <c r="D128" s="5">
        <f t="shared" si="2"/>
        <v>-30.279222624120955</v>
      </c>
    </row>
    <row r="129" spans="1:4">
      <c r="A129" s="2">
        <f>+'2H filtrado'!C100</f>
        <v>99</v>
      </c>
      <c r="B129" s="2" t="str">
        <f>+'2H filtrado'!D100</f>
        <v>A053</v>
      </c>
      <c r="C129" s="5">
        <f>+'2H filtrado'!N100</f>
        <v>222.983</v>
      </c>
      <c r="D129" s="5">
        <f t="shared" si="2"/>
        <v>-26.054692305145309</v>
      </c>
    </row>
    <row r="130" spans="1:4">
      <c r="A130" s="2">
        <f>+'2H filtrado'!C101</f>
        <v>100</v>
      </c>
      <c r="B130" s="2" t="str">
        <f>+'2H filtrado'!D101</f>
        <v>A053</v>
      </c>
      <c r="C130" s="5">
        <f>+'2H filtrado'!N101</f>
        <v>227.07900000000001</v>
      </c>
      <c r="D130" s="5">
        <f t="shared" si="2"/>
        <v>-22.73089741722287</v>
      </c>
    </row>
    <row r="131" spans="1:4">
      <c r="A131" s="2">
        <f>+'2H filtrado'!C102</f>
        <v>101</v>
      </c>
      <c r="B131" s="2" t="str">
        <f>+'2H filtrado'!D102</f>
        <v>A054</v>
      </c>
      <c r="C131" s="5">
        <f>+'2H filtrado'!N102</f>
        <v>218.66</v>
      </c>
      <c r="D131" s="5">
        <f t="shared" si="2"/>
        <v>-29.562691646084936</v>
      </c>
    </row>
    <row r="132" spans="1:4">
      <c r="A132" s="2">
        <f>+'2H filtrado'!C103</f>
        <v>102</v>
      </c>
      <c r="B132" s="2" t="str">
        <f>+'2H filtrado'!D103</f>
        <v>A054</v>
      </c>
      <c r="C132" s="5">
        <f>+'2H filtrado'!N103</f>
        <v>219.774</v>
      </c>
      <c r="D132" s="5">
        <f t="shared" si="2"/>
        <v>-28.658710321586497</v>
      </c>
    </row>
    <row r="133" spans="1:4">
      <c r="A133" s="2">
        <f>+'2H filtrado'!C104</f>
        <v>103</v>
      </c>
      <c r="B133" s="2" t="str">
        <f>+'2H filtrado'!D104</f>
        <v>A055</v>
      </c>
      <c r="C133" s="5">
        <f>+'2H filtrado'!N104</f>
        <v>235.11799999999999</v>
      </c>
      <c r="D133" s="5">
        <f t="shared" si="2"/>
        <v>-16.20746306565832</v>
      </c>
    </row>
    <row r="134" spans="1:4">
      <c r="A134" s="2">
        <f>+'2H filtrado'!C105</f>
        <v>104</v>
      </c>
      <c r="B134" s="2" t="str">
        <f>+'2H filtrado'!D105</f>
        <v>A055</v>
      </c>
      <c r="C134" s="5">
        <f>+'2H filtrado'!N105</f>
        <v>235.82300000000001</v>
      </c>
      <c r="D134" s="5">
        <f t="shared" si="2"/>
        <v>-15.635374345935331</v>
      </c>
    </row>
    <row r="135" spans="1:4">
      <c r="A135" s="2">
        <f>+'2H filtrado'!C106</f>
        <v>105</v>
      </c>
      <c r="B135" s="2" t="str">
        <f>+'2H filtrado'!D106</f>
        <v>A056</v>
      </c>
      <c r="C135" s="5">
        <f>+'2H filtrado'!N106</f>
        <v>238.048</v>
      </c>
      <c r="D135" s="5">
        <f t="shared" si="2"/>
        <v>-13.829846117022392</v>
      </c>
    </row>
    <row r="136" spans="1:4">
      <c r="A136" s="2">
        <f>+'2H filtrado'!C107</f>
        <v>106</v>
      </c>
      <c r="B136" s="2" t="str">
        <f>+'2H filtrado'!D107</f>
        <v>A056</v>
      </c>
      <c r="C136" s="5">
        <f>+'2H filtrado'!N107</f>
        <v>236.572</v>
      </c>
      <c r="D136" s="5">
        <f t="shared" si="2"/>
        <v>-15.027580798314753</v>
      </c>
    </row>
    <row r="137" spans="1:4">
      <c r="A137" s="2">
        <f>+'2H filtrado'!C108</f>
        <v>107</v>
      </c>
      <c r="B137" s="2" t="str">
        <f>+'2H filtrado'!D108</f>
        <v>Buenos Aires</v>
      </c>
      <c r="C137" s="5">
        <f>+'2H filtrado'!N108</f>
        <v>207.42500000000001</v>
      </c>
      <c r="D137" s="5">
        <f t="shared" si="2"/>
        <v>-38.679594860393649</v>
      </c>
    </row>
    <row r="138" spans="1:4">
      <c r="A138" s="2">
        <f>+'2H filtrado'!C109</f>
        <v>108</v>
      </c>
      <c r="B138" s="2" t="str">
        <f>+'2H filtrado'!D109</f>
        <v>Buenos Aires</v>
      </c>
      <c r="C138" s="5">
        <f>+'2H filtrado'!N109</f>
        <v>207.91</v>
      </c>
      <c r="D138" s="5">
        <f t="shared" si="2"/>
        <v>-38.286030280158705</v>
      </c>
    </row>
    <row r="139" spans="1:4">
      <c r="A139" s="2">
        <f>+'2H filtrado'!C110</f>
        <v>109</v>
      </c>
      <c r="B139" s="2" t="str">
        <f>+'2H filtrado'!D110</f>
        <v>A057</v>
      </c>
      <c r="C139" s="5">
        <f>+'2H filtrado'!N110</f>
        <v>236.88499999999999</v>
      </c>
      <c r="D139" s="5">
        <f t="shared" si="2"/>
        <v>-14.773589636224987</v>
      </c>
    </row>
    <row r="140" spans="1:4">
      <c r="A140" s="2">
        <f>+'2H filtrado'!C111</f>
        <v>110</v>
      </c>
      <c r="B140" s="2" t="str">
        <f>+'2H filtrado'!D111</f>
        <v>A057</v>
      </c>
      <c r="C140" s="5">
        <f>+'2H filtrado'!N111</f>
        <v>236.7</v>
      </c>
      <c r="D140" s="5">
        <f t="shared" si="2"/>
        <v>-14.923712208067188</v>
      </c>
    </row>
    <row r="141" spans="1:4">
      <c r="A141" s="2">
        <f>+'2H filtrado'!C112</f>
        <v>111</v>
      </c>
      <c r="B141" s="2" t="str">
        <f>+'2H filtrado'!D112</f>
        <v>A003</v>
      </c>
      <c r="C141" s="5">
        <f>+'2H filtrado'!N112</f>
        <v>247.17599999999999</v>
      </c>
      <c r="D141" s="5">
        <f t="shared" si="2"/>
        <v>-6.4227172749921353</v>
      </c>
    </row>
    <row r="142" spans="1:4">
      <c r="A142" s="2">
        <f>+'2H filtrado'!C113</f>
        <v>112</v>
      </c>
      <c r="B142" s="2" t="str">
        <f>+'2H filtrado'!D113</f>
        <v>A003</v>
      </c>
      <c r="C142" s="5">
        <f>+'2H filtrado'!N113</f>
        <v>243.928</v>
      </c>
      <c r="D142" s="5">
        <f t="shared" si="2"/>
        <v>-9.0583827525243699</v>
      </c>
    </row>
    <row r="143" spans="1:4">
      <c r="A143" s="2">
        <f>+'2H filtrado'!C114</f>
        <v>113</v>
      </c>
      <c r="B143" s="2" t="str">
        <f>+'2H filtrado'!D114</f>
        <v>A016</v>
      </c>
      <c r="C143" s="5">
        <f>+'2H filtrado'!N114</f>
        <v>252.00899999999999</v>
      </c>
      <c r="D143" s="5">
        <f t="shared" si="2"/>
        <v>-2.5008665197848305</v>
      </c>
    </row>
    <row r="144" spans="1:4">
      <c r="A144" s="2">
        <f>+'2H filtrado'!C115</f>
        <v>114</v>
      </c>
      <c r="B144" s="2" t="str">
        <f>+'2H filtrado'!D115</f>
        <v>A016</v>
      </c>
      <c r="C144" s="5">
        <f>+'2H filtrado'!N115</f>
        <v>254.524</v>
      </c>
      <c r="D144" s="5">
        <f t="shared" si="2"/>
        <v>-0.46001101609221035</v>
      </c>
    </row>
    <row r="145" spans="1:4">
      <c r="A145" s="2">
        <f>+'2H filtrado'!C116</f>
        <v>115</v>
      </c>
      <c r="B145" s="2" t="str">
        <f>+'2H filtrado'!D116</f>
        <v>Mar</v>
      </c>
      <c r="C145" s="5">
        <f>+'2H filtrado'!N116</f>
        <v>256.24700000000001</v>
      </c>
      <c r="D145" s="5">
        <f t="shared" si="2"/>
        <v>0.93815758544353145</v>
      </c>
    </row>
    <row r="146" spans="1:4">
      <c r="A146" s="2">
        <f>+'2H filtrado'!C117</f>
        <v>116</v>
      </c>
      <c r="B146" s="2" t="str">
        <f>+'2H filtrado'!D117</f>
        <v>Mar</v>
      </c>
      <c r="C146" s="5">
        <f>+'2H filtrado'!N117</f>
        <v>255.91499999999999</v>
      </c>
      <c r="D146" s="5">
        <f t="shared" si="2"/>
        <v>0.66874842948886304</v>
      </c>
    </row>
    <row r="147" spans="1:4">
      <c r="A147" s="2">
        <f>+'2H filtrado'!C118</f>
        <v>117</v>
      </c>
      <c r="B147" s="2" t="str">
        <f>+'2H filtrado'!D118</f>
        <v>Mar</v>
      </c>
      <c r="C147" s="5">
        <f>+'2H filtrado'!N118</f>
        <v>259.02499999999998</v>
      </c>
      <c r="D147" s="5">
        <f t="shared" si="2"/>
        <v>3.192430583160426</v>
      </c>
    </row>
    <row r="148" spans="1:4">
      <c r="A148" s="2">
        <f>+'2H filtrado'!C119</f>
        <v>118</v>
      </c>
      <c r="B148" s="2" t="str">
        <f>+'2H filtrado'!D119</f>
        <v>Buenos Aires</v>
      </c>
      <c r="C148" s="5">
        <f>+'2H filtrado'!N119</f>
        <v>207.12299999999999</v>
      </c>
      <c r="D148" s="5">
        <f t="shared" si="2"/>
        <v>-38.924659815509045</v>
      </c>
    </row>
    <row r="149" spans="1:4">
      <c r="A149" s="2">
        <f>+'2H filtrado'!C120</f>
        <v>119</v>
      </c>
      <c r="B149" s="2" t="str">
        <f>+'2H filtrado'!D120</f>
        <v>Buenos Aires</v>
      </c>
      <c r="C149" s="5">
        <f>+'2H filtrado'!N120</f>
        <v>211.84700000000001</v>
      </c>
      <c r="D149" s="5">
        <f t="shared" si="2"/>
        <v>-35.091259656684421</v>
      </c>
    </row>
    <row r="150" spans="1:4">
      <c r="A150" s="2">
        <f>+'2H filtrado'!C121</f>
        <v>120</v>
      </c>
      <c r="B150" s="2" t="str">
        <f>+'2H filtrado'!D121</f>
        <v>Buenos Aires</v>
      </c>
      <c r="C150" s="5">
        <f>+'2H filtrado'!N121</f>
        <v>205.52600000000001</v>
      </c>
      <c r="D150" s="5">
        <f t="shared" si="2"/>
        <v>-40.220582773519801</v>
      </c>
    </row>
    <row r="151" spans="1:4">
      <c r="A151" s="2">
        <f>+'2H filtrado'!C122</f>
        <v>121</v>
      </c>
      <c r="B151" s="2" t="str">
        <f>+'2H filtrado'!D122</f>
        <v>Mendoza</v>
      </c>
      <c r="C151" s="5">
        <f>+'2H filtrado'!N122</f>
        <v>167.74100000000001</v>
      </c>
      <c r="D151" s="5">
        <f t="shared" si="2"/>
        <v>-70.882103730587474</v>
      </c>
    </row>
    <row r="152" spans="1:4">
      <c r="A152" s="2">
        <f>+'2H filtrado'!C123</f>
        <v>122</v>
      </c>
      <c r="B152" s="2" t="str">
        <f>+'2H filtrado'!D123</f>
        <v>Mendoza</v>
      </c>
      <c r="C152" s="5">
        <f>+'2H filtrado'!N123</f>
        <v>165.31</v>
      </c>
      <c r="D152" s="5">
        <f t="shared" si="2"/>
        <v>-72.854795471930117</v>
      </c>
    </row>
    <row r="153" spans="1:4">
      <c r="A153" s="2">
        <f>+'2H filtrado'!C124</f>
        <v>123</v>
      </c>
      <c r="B153" s="2" t="str">
        <f>+'2H filtrado'!D124</f>
        <v>Mendoza</v>
      </c>
      <c r="C153" s="5">
        <f>+'2H filtrado'!N124</f>
        <v>165.476</v>
      </c>
      <c r="D153" s="5">
        <f t="shared" si="2"/>
        <v>-72.720090893952786</v>
      </c>
    </row>
    <row r="154" spans="1:4">
      <c r="A154" s="2">
        <f>+'2H filtrado'!C125</f>
        <v>124</v>
      </c>
      <c r="B154" s="2" t="str">
        <f>+'2H filtrado'!D125</f>
        <v>Antartida</v>
      </c>
      <c r="C154" s="5">
        <f>+'2H filtrado'!N125</f>
        <v>139.352</v>
      </c>
      <c r="D154" s="5">
        <f t="shared" si="2"/>
        <v>-93.919020984794017</v>
      </c>
    </row>
    <row r="155" spans="1:4">
      <c r="A155" s="2">
        <f>+'2H filtrado'!C126</f>
        <v>125</v>
      </c>
      <c r="B155" s="2" t="str">
        <f>+'2H filtrado'!D126</f>
        <v>Antartida</v>
      </c>
      <c r="C155" s="5">
        <f>+'2H filtrado'!N126</f>
        <v>138.31399999999999</v>
      </c>
      <c r="D155" s="5">
        <f t="shared" si="2"/>
        <v>-94.761330333832959</v>
      </c>
    </row>
    <row r="156" spans="1:4">
      <c r="A156" s="2">
        <f>+'2H filtrado'!C127</f>
        <v>126</v>
      </c>
      <c r="B156" s="2" t="str">
        <f>+'2H filtrado'!D127</f>
        <v>Antartida</v>
      </c>
      <c r="C156" s="5">
        <f>+'2H filtrado'!N127</f>
        <v>139.26599999999999</v>
      </c>
      <c r="D156" s="5">
        <f t="shared" si="2"/>
        <v>-93.988807693866619</v>
      </c>
    </row>
    <row r="157" spans="1:4">
      <c r="A157" s="2">
        <f>+'2H filtrado'!C128</f>
        <v>0</v>
      </c>
      <c r="B157" s="2">
        <f>+'2H filtrado'!D128</f>
        <v>0</v>
      </c>
      <c r="C157" s="5">
        <f>+'2H filtrado'!N128</f>
        <v>0</v>
      </c>
      <c r="D157" s="5">
        <f t="shared" si="2"/>
        <v>-206.99945682995201</v>
      </c>
    </row>
    <row r="158" spans="1:4">
      <c r="A158" s="2">
        <f>+'2H filtrado'!C129</f>
        <v>0</v>
      </c>
      <c r="B158" s="2">
        <f>+'2H filtrado'!D129</f>
        <v>0</v>
      </c>
      <c r="C158" s="5">
        <f>+'2H filtrado'!N129</f>
        <v>0</v>
      </c>
      <c r="D158" s="5">
        <f t="shared" si="2"/>
        <v>-206.99945682995201</v>
      </c>
    </row>
    <row r="159" spans="1:4">
      <c r="A159" s="2">
        <f>+'2H filtrado'!C130</f>
        <v>0</v>
      </c>
      <c r="B159" s="2">
        <f>+'2H filtrado'!D130</f>
        <v>0</v>
      </c>
      <c r="C159" s="5">
        <f>+'2H filtrado'!N130</f>
        <v>0</v>
      </c>
      <c r="D159" s="5">
        <f t="shared" ref="D159" si="3">+(C159-$N$22)/$N$21</f>
        <v>-206.99945682995201</v>
      </c>
    </row>
    <row r="160" spans="1:4">
      <c r="A160" s="2">
        <f>+'2H filtrado'!C131</f>
        <v>0</v>
      </c>
      <c r="B160" s="2">
        <f>+'2H filtrado'!D131</f>
        <v>0</v>
      </c>
      <c r="C160" s="5">
        <f>+'2H filtrado'!N131</f>
        <v>0</v>
      </c>
      <c r="D160" s="5">
        <f t="shared" ref="D160:D223" si="4">+(C160-$N$22)/$N$21</f>
        <v>-206.99945682995201</v>
      </c>
    </row>
    <row r="161" spans="1:4">
      <c r="A161" s="2">
        <f>+'2H filtrado'!C132</f>
        <v>0</v>
      </c>
      <c r="B161" s="2">
        <f>+'2H filtrado'!D132</f>
        <v>0</v>
      </c>
      <c r="C161" s="5">
        <f>+'2H filtrado'!N132</f>
        <v>0</v>
      </c>
      <c r="D161" s="5">
        <f t="shared" si="4"/>
        <v>-206.99945682995201</v>
      </c>
    </row>
    <row r="162" spans="1:4">
      <c r="A162" s="2">
        <f>+'2H filtrado'!C133</f>
        <v>0</v>
      </c>
      <c r="B162" s="2">
        <f>+'2H filtrado'!D133</f>
        <v>0</v>
      </c>
      <c r="C162" s="5">
        <f>+'2H filtrado'!N133</f>
        <v>0</v>
      </c>
      <c r="D162" s="5">
        <f t="shared" si="4"/>
        <v>-206.99945682995201</v>
      </c>
    </row>
    <row r="163" spans="1:4">
      <c r="A163" s="2">
        <f>+'2H filtrado'!C134</f>
        <v>0</v>
      </c>
      <c r="B163" s="2">
        <f>+'2H filtrado'!D134</f>
        <v>0</v>
      </c>
      <c r="C163" s="5">
        <f>+'2H filtrado'!N134</f>
        <v>0</v>
      </c>
      <c r="D163" s="5">
        <f t="shared" si="4"/>
        <v>-206.99945682995201</v>
      </c>
    </row>
    <row r="164" spans="1:4">
      <c r="A164" s="2">
        <f>+'2H filtrado'!C135</f>
        <v>0</v>
      </c>
      <c r="B164" s="2">
        <f>+'2H filtrado'!D135</f>
        <v>0</v>
      </c>
      <c r="C164" s="5">
        <f>+'2H filtrado'!N135</f>
        <v>0</v>
      </c>
      <c r="D164" s="5">
        <f t="shared" si="4"/>
        <v>-206.99945682995201</v>
      </c>
    </row>
    <row r="165" spans="1:4">
      <c r="A165" s="2">
        <f>+'2H filtrado'!C136</f>
        <v>0</v>
      </c>
      <c r="B165" s="2">
        <f>+'2H filtrado'!D136</f>
        <v>0</v>
      </c>
      <c r="C165" s="5">
        <f>+'2H filtrado'!N136</f>
        <v>0</v>
      </c>
      <c r="D165" s="5">
        <f t="shared" si="4"/>
        <v>-206.99945682995201</v>
      </c>
    </row>
    <row r="166" spans="1:4">
      <c r="A166" s="2">
        <f>+'2H filtrado'!C137</f>
        <v>0</v>
      </c>
      <c r="B166" s="2">
        <f>+'2H filtrado'!D137</f>
        <v>0</v>
      </c>
      <c r="C166" s="5">
        <f>+'2H filtrado'!N137</f>
        <v>0</v>
      </c>
      <c r="D166" s="5">
        <f t="shared" si="4"/>
        <v>-206.99945682995201</v>
      </c>
    </row>
    <row r="167" spans="1:4">
      <c r="A167" s="2">
        <f>+'2H filtrado'!C138</f>
        <v>0</v>
      </c>
      <c r="B167" s="2">
        <f>+'2H filtrado'!D138</f>
        <v>0</v>
      </c>
      <c r="C167" s="5">
        <f>+'2H filtrado'!N138</f>
        <v>0</v>
      </c>
      <c r="D167" s="5">
        <f t="shared" si="4"/>
        <v>-206.99945682995201</v>
      </c>
    </row>
    <row r="168" spans="1:4">
      <c r="A168" s="2">
        <f>+'2H filtrado'!C139</f>
        <v>0</v>
      </c>
      <c r="B168" s="2">
        <f>+'2H filtrado'!D139</f>
        <v>0</v>
      </c>
      <c r="C168" s="5">
        <f>+'2H filtrado'!N139</f>
        <v>0</v>
      </c>
      <c r="D168" s="5">
        <f t="shared" si="4"/>
        <v>-206.99945682995201</v>
      </c>
    </row>
    <row r="169" spans="1:4">
      <c r="A169" s="2">
        <f>+'2H filtrado'!C140</f>
        <v>0</v>
      </c>
      <c r="B169" s="2">
        <f>+'2H filtrado'!D140</f>
        <v>0</v>
      </c>
      <c r="C169" s="5">
        <f>+'2H filtrado'!N140</f>
        <v>0</v>
      </c>
      <c r="D169" s="5">
        <f t="shared" si="4"/>
        <v>-206.99945682995201</v>
      </c>
    </row>
    <row r="170" spans="1:4">
      <c r="A170" s="2">
        <f>+'2H filtrado'!C141</f>
        <v>0</v>
      </c>
      <c r="B170" s="2">
        <f>+'2H filtrado'!D141</f>
        <v>0</v>
      </c>
      <c r="C170" s="5">
        <f>+'2H filtrado'!N141</f>
        <v>0</v>
      </c>
      <c r="D170" s="5">
        <f t="shared" si="4"/>
        <v>-206.99945682995201</v>
      </c>
    </row>
    <row r="171" spans="1:4">
      <c r="A171" s="2">
        <f>+'2H filtrado'!C142</f>
        <v>0</v>
      </c>
      <c r="B171" s="2">
        <f>+'2H filtrado'!D142</f>
        <v>0</v>
      </c>
      <c r="C171" s="5">
        <f>+'2H filtrado'!N142</f>
        <v>0</v>
      </c>
      <c r="D171" s="5">
        <f t="shared" si="4"/>
        <v>-206.99945682995201</v>
      </c>
    </row>
    <row r="172" spans="1:4">
      <c r="A172" s="2">
        <f>+'2H filtrado'!C143</f>
        <v>0</v>
      </c>
      <c r="B172" s="2">
        <f>+'2H filtrado'!D143</f>
        <v>0</v>
      </c>
      <c r="C172" s="5">
        <f>+'2H filtrado'!N143</f>
        <v>0</v>
      </c>
      <c r="D172" s="5">
        <f t="shared" si="4"/>
        <v>-206.99945682995201</v>
      </c>
    </row>
    <row r="173" spans="1:4">
      <c r="A173" s="2">
        <f>+'2H filtrado'!C144</f>
        <v>0</v>
      </c>
      <c r="B173" s="2">
        <f>+'2H filtrado'!D144</f>
        <v>0</v>
      </c>
      <c r="C173" s="5">
        <f>+'2H filtrado'!N144</f>
        <v>0</v>
      </c>
      <c r="D173" s="5">
        <f t="shared" si="4"/>
        <v>-206.99945682995201</v>
      </c>
    </row>
    <row r="174" spans="1:4">
      <c r="A174" s="2">
        <f>+'2H filtrado'!C145</f>
        <v>0</v>
      </c>
      <c r="B174" s="2">
        <f>+'2H filtrado'!D145</f>
        <v>0</v>
      </c>
      <c r="C174" s="5">
        <f>+'2H filtrado'!N145</f>
        <v>0</v>
      </c>
      <c r="D174" s="5">
        <f t="shared" si="4"/>
        <v>-206.99945682995201</v>
      </c>
    </row>
    <row r="175" spans="1:4">
      <c r="A175" s="2">
        <f>+'2H filtrado'!C146</f>
        <v>0</v>
      </c>
      <c r="B175" s="2">
        <f>+'2H filtrado'!D146</f>
        <v>0</v>
      </c>
      <c r="C175" s="5">
        <f>+'2H filtrado'!N146</f>
        <v>0</v>
      </c>
      <c r="D175" s="5">
        <f t="shared" si="4"/>
        <v>-206.99945682995201</v>
      </c>
    </row>
    <row r="176" spans="1:4">
      <c r="A176" s="2">
        <f>+'2H filtrado'!C147</f>
        <v>0</v>
      </c>
      <c r="B176" s="2">
        <f>+'2H filtrado'!D147</f>
        <v>0</v>
      </c>
      <c r="C176" s="5">
        <f>+'2H filtrado'!N147</f>
        <v>0</v>
      </c>
      <c r="D176" s="5">
        <f t="shared" si="4"/>
        <v>-206.99945682995201</v>
      </c>
    </row>
    <row r="177" spans="1:4">
      <c r="A177" s="2">
        <f>+'2H filtrado'!C148</f>
        <v>0</v>
      </c>
      <c r="B177" s="2">
        <f>+'2H filtrado'!D148</f>
        <v>0</v>
      </c>
      <c r="C177" s="5">
        <f>+'2H filtrado'!N148</f>
        <v>0</v>
      </c>
      <c r="D177" s="5">
        <f t="shared" si="4"/>
        <v>-206.99945682995201</v>
      </c>
    </row>
    <row r="178" spans="1:4">
      <c r="A178" s="2">
        <f>+'2H filtrado'!C149</f>
        <v>0</v>
      </c>
      <c r="B178" s="2">
        <f>+'2H filtrado'!D149</f>
        <v>0</v>
      </c>
      <c r="C178" s="5">
        <f>+'2H filtrado'!N149</f>
        <v>0</v>
      </c>
      <c r="D178" s="5">
        <f t="shared" si="4"/>
        <v>-206.99945682995201</v>
      </c>
    </row>
    <row r="179" spans="1:4">
      <c r="A179" s="2">
        <f>+'2H filtrado'!C150</f>
        <v>0</v>
      </c>
      <c r="B179" s="2">
        <f>+'2H filtrado'!D150</f>
        <v>0</v>
      </c>
      <c r="C179" s="5">
        <f>+'2H filtrado'!N150</f>
        <v>0</v>
      </c>
      <c r="D179" s="5">
        <f t="shared" si="4"/>
        <v>-206.99945682995201</v>
      </c>
    </row>
    <row r="180" spans="1:4">
      <c r="A180" s="2">
        <f>+'2H filtrado'!C151</f>
        <v>0</v>
      </c>
      <c r="B180" s="2">
        <f>+'2H filtrado'!D151</f>
        <v>0</v>
      </c>
      <c r="C180" s="5">
        <f>+'2H filtrado'!N151</f>
        <v>0</v>
      </c>
      <c r="D180" s="5">
        <f t="shared" si="4"/>
        <v>-206.99945682995201</v>
      </c>
    </row>
    <row r="181" spans="1:4">
      <c r="A181" s="2">
        <f>+'2H filtrado'!C152</f>
        <v>0</v>
      </c>
      <c r="B181" s="2">
        <f>+'2H filtrado'!D152</f>
        <v>0</v>
      </c>
      <c r="C181" s="5">
        <f>+'2H filtrado'!N152</f>
        <v>0</v>
      </c>
      <c r="D181" s="5">
        <f t="shared" si="4"/>
        <v>-206.99945682995201</v>
      </c>
    </row>
    <row r="182" spans="1:4">
      <c r="A182" s="2">
        <f>+'2H filtrado'!C153</f>
        <v>0</v>
      </c>
      <c r="B182" s="2">
        <f>+'2H filtrado'!D153</f>
        <v>0</v>
      </c>
      <c r="C182" s="5">
        <f>+'2H filtrado'!N153</f>
        <v>0</v>
      </c>
      <c r="D182" s="5">
        <f t="shared" si="4"/>
        <v>-206.99945682995201</v>
      </c>
    </row>
    <row r="183" spans="1:4">
      <c r="A183" s="2">
        <f>+'2H filtrado'!C154</f>
        <v>0</v>
      </c>
      <c r="B183" s="2">
        <f>+'2H filtrado'!D154</f>
        <v>0</v>
      </c>
      <c r="C183" s="5">
        <f>+'2H filtrado'!N154</f>
        <v>0</v>
      </c>
      <c r="D183" s="5">
        <f t="shared" si="4"/>
        <v>-206.99945682995201</v>
      </c>
    </row>
    <row r="184" spans="1:4">
      <c r="A184" s="2">
        <f>+'2H filtrado'!C155</f>
        <v>0</v>
      </c>
      <c r="B184" s="2">
        <f>+'2H filtrado'!D155</f>
        <v>0</v>
      </c>
      <c r="C184" s="5">
        <f>+'2H filtrado'!N155</f>
        <v>0</v>
      </c>
      <c r="D184" s="5">
        <f t="shared" si="4"/>
        <v>-206.99945682995201</v>
      </c>
    </row>
    <row r="185" spans="1:4">
      <c r="A185" s="2">
        <f>+'2H filtrado'!C156</f>
        <v>0</v>
      </c>
      <c r="B185" s="2">
        <f>+'2H filtrado'!D156</f>
        <v>0</v>
      </c>
      <c r="C185" s="5">
        <f>+'2H filtrado'!N156</f>
        <v>0</v>
      </c>
      <c r="D185" s="5">
        <f t="shared" si="4"/>
        <v>-206.99945682995201</v>
      </c>
    </row>
    <row r="186" spans="1:4">
      <c r="A186" s="2">
        <f>+'2H filtrado'!C157</f>
        <v>0</v>
      </c>
      <c r="B186" s="2">
        <f>+'2H filtrado'!D157</f>
        <v>0</v>
      </c>
      <c r="C186" s="5">
        <f>+'2H filtrado'!N157</f>
        <v>0</v>
      </c>
      <c r="D186" s="5">
        <f t="shared" si="4"/>
        <v>-206.99945682995201</v>
      </c>
    </row>
    <row r="187" spans="1:4">
      <c r="A187" s="2">
        <f>+'2H filtrado'!C158</f>
        <v>0</v>
      </c>
      <c r="B187" s="2">
        <f>+'2H filtrado'!D158</f>
        <v>0</v>
      </c>
      <c r="C187" s="5">
        <f>+'2H filtrado'!N158</f>
        <v>0</v>
      </c>
      <c r="D187" s="5">
        <f t="shared" si="4"/>
        <v>-206.99945682995201</v>
      </c>
    </row>
    <row r="188" spans="1:4">
      <c r="A188" s="2">
        <f>+'2H filtrado'!C159</f>
        <v>0</v>
      </c>
      <c r="B188" s="2">
        <f>+'2H filtrado'!D159</f>
        <v>0</v>
      </c>
      <c r="C188" s="5">
        <f>+'2H filtrado'!N159</f>
        <v>0</v>
      </c>
      <c r="D188" s="5">
        <f t="shared" si="4"/>
        <v>-206.99945682995201</v>
      </c>
    </row>
    <row r="189" spans="1:4">
      <c r="A189" s="2">
        <f>+'2H filtrado'!C160</f>
        <v>0</v>
      </c>
      <c r="B189" s="2">
        <f>+'2H filtrado'!D160</f>
        <v>0</v>
      </c>
      <c r="C189" s="5">
        <f>+'2H filtrado'!N160</f>
        <v>0</v>
      </c>
      <c r="D189" s="5">
        <f t="shared" si="4"/>
        <v>-206.99945682995201</v>
      </c>
    </row>
    <row r="190" spans="1:4">
      <c r="A190" s="2">
        <f>+'2H filtrado'!C161</f>
        <v>0</v>
      </c>
      <c r="B190" s="2">
        <f>+'2H filtrado'!D161</f>
        <v>0</v>
      </c>
      <c r="C190" s="5">
        <f>+'2H filtrado'!N161</f>
        <v>0</v>
      </c>
      <c r="D190" s="5">
        <f t="shared" si="4"/>
        <v>-206.99945682995201</v>
      </c>
    </row>
    <row r="191" spans="1:4">
      <c r="A191" s="2">
        <f>+'2H filtrado'!C162</f>
        <v>0</v>
      </c>
      <c r="B191" s="2">
        <f>+'2H filtrado'!D162</f>
        <v>0</v>
      </c>
      <c r="C191" s="5">
        <f>+'2H filtrado'!N162</f>
        <v>0</v>
      </c>
      <c r="D191" s="5">
        <f t="shared" si="4"/>
        <v>-206.99945682995201</v>
      </c>
    </row>
    <row r="192" spans="1:4">
      <c r="A192" s="2">
        <f>+'2H filtrado'!C163</f>
        <v>0</v>
      </c>
      <c r="B192" s="2">
        <f>+'2H filtrado'!D163</f>
        <v>0</v>
      </c>
      <c r="C192" s="5">
        <f>+'2H filtrado'!N163</f>
        <v>0</v>
      </c>
      <c r="D192" s="5">
        <f t="shared" si="4"/>
        <v>-206.99945682995201</v>
      </c>
    </row>
    <row r="193" spans="1:4">
      <c r="A193" s="2">
        <f>+'2H filtrado'!C164</f>
        <v>0</v>
      </c>
      <c r="B193" s="2">
        <f>+'2H filtrado'!D164</f>
        <v>0</v>
      </c>
      <c r="C193" s="5">
        <f>+'2H filtrado'!N164</f>
        <v>0</v>
      </c>
      <c r="D193" s="5">
        <f t="shared" si="4"/>
        <v>-206.99945682995201</v>
      </c>
    </row>
    <row r="194" spans="1:4">
      <c r="A194" s="2">
        <f>+'2H filtrado'!C165</f>
        <v>0</v>
      </c>
      <c r="B194" s="2">
        <f>+'2H filtrado'!D165</f>
        <v>0</v>
      </c>
      <c r="C194" s="5">
        <f>+'2H filtrado'!N165</f>
        <v>0</v>
      </c>
      <c r="D194" s="5">
        <f t="shared" si="4"/>
        <v>-206.99945682995201</v>
      </c>
    </row>
    <row r="195" spans="1:4">
      <c r="A195" s="2">
        <f>+'2H filtrado'!C166</f>
        <v>0</v>
      </c>
      <c r="B195" s="2">
        <f>+'2H filtrado'!D166</f>
        <v>0</v>
      </c>
      <c r="C195" s="5">
        <f>+'2H filtrado'!N166</f>
        <v>0</v>
      </c>
      <c r="D195" s="5">
        <f t="shared" si="4"/>
        <v>-206.99945682995201</v>
      </c>
    </row>
    <row r="196" spans="1:4">
      <c r="A196" s="2">
        <f>+'2H filtrado'!C167</f>
        <v>0</v>
      </c>
      <c r="B196" s="2">
        <f>+'2H filtrado'!D167</f>
        <v>0</v>
      </c>
      <c r="C196" s="5">
        <f>+'2H filtrado'!N167</f>
        <v>0</v>
      </c>
      <c r="D196" s="5">
        <f t="shared" si="4"/>
        <v>-206.99945682995201</v>
      </c>
    </row>
    <row r="197" spans="1:4">
      <c r="A197" s="2">
        <f>+'2H filtrado'!C168</f>
        <v>0</v>
      </c>
      <c r="B197" s="2">
        <f>+'2H filtrado'!D168</f>
        <v>0</v>
      </c>
      <c r="C197" s="5">
        <f>+'2H filtrado'!N168</f>
        <v>0</v>
      </c>
      <c r="D197" s="5">
        <f t="shared" si="4"/>
        <v>-206.99945682995201</v>
      </c>
    </row>
    <row r="198" spans="1:4">
      <c r="A198" s="2">
        <f>+'2H filtrado'!C169</f>
        <v>0</v>
      </c>
      <c r="B198" s="2">
        <f>+'2H filtrado'!D169</f>
        <v>0</v>
      </c>
      <c r="C198" s="5">
        <f>+'2H filtrado'!N169</f>
        <v>0</v>
      </c>
      <c r="D198" s="5">
        <f t="shared" si="4"/>
        <v>-206.99945682995201</v>
      </c>
    </row>
    <row r="199" spans="1:4">
      <c r="A199" s="2">
        <f>+'2H filtrado'!C170</f>
        <v>0</v>
      </c>
      <c r="B199" s="2">
        <f>+'2H filtrado'!D170</f>
        <v>0</v>
      </c>
      <c r="C199" s="5">
        <f>+'2H filtrado'!N170</f>
        <v>0</v>
      </c>
      <c r="D199" s="5">
        <f t="shared" si="4"/>
        <v>-206.99945682995201</v>
      </c>
    </row>
    <row r="200" spans="1:4">
      <c r="A200" s="2">
        <f>+'2H filtrado'!C171</f>
        <v>0</v>
      </c>
      <c r="B200" s="2">
        <f>+'2H filtrado'!D171</f>
        <v>0</v>
      </c>
      <c r="C200" s="5">
        <f>+'2H filtrado'!N171</f>
        <v>0</v>
      </c>
      <c r="D200" s="5">
        <f t="shared" si="4"/>
        <v>-206.99945682995201</v>
      </c>
    </row>
    <row r="201" spans="1:4">
      <c r="A201" s="2">
        <f>+'2H filtrado'!C172</f>
        <v>0</v>
      </c>
      <c r="B201" s="2">
        <f>+'2H filtrado'!D172</f>
        <v>0</v>
      </c>
      <c r="C201" s="5">
        <f>+'2H filtrado'!N172</f>
        <v>0</v>
      </c>
      <c r="D201" s="5">
        <f t="shared" si="4"/>
        <v>-206.99945682995201</v>
      </c>
    </row>
    <row r="202" spans="1:4">
      <c r="A202" s="2">
        <f>+'2H filtrado'!C173</f>
        <v>0</v>
      </c>
      <c r="B202" s="2">
        <f>+'2H filtrado'!D173</f>
        <v>0</v>
      </c>
      <c r="C202" s="5">
        <f>+'2H filtrado'!N173</f>
        <v>0</v>
      </c>
      <c r="D202" s="5">
        <f t="shared" si="4"/>
        <v>-206.99945682995201</v>
      </c>
    </row>
    <row r="203" spans="1:4">
      <c r="A203" s="2">
        <f>+'2H filtrado'!C174</f>
        <v>0</v>
      </c>
      <c r="B203" s="2">
        <f>+'2H filtrado'!D174</f>
        <v>0</v>
      </c>
      <c r="C203" s="5">
        <f>+'2H filtrado'!N174</f>
        <v>0</v>
      </c>
      <c r="D203" s="5">
        <f t="shared" si="4"/>
        <v>-206.99945682995201</v>
      </c>
    </row>
    <row r="204" spans="1:4">
      <c r="A204" s="2">
        <f>+'2H filtrado'!C175</f>
        <v>0</v>
      </c>
      <c r="B204" s="2">
        <f>+'2H filtrado'!D175</f>
        <v>0</v>
      </c>
      <c r="C204" s="5">
        <f>+'2H filtrado'!N175</f>
        <v>0</v>
      </c>
      <c r="D204" s="5">
        <f t="shared" si="4"/>
        <v>-206.99945682995201</v>
      </c>
    </row>
    <row r="205" spans="1:4">
      <c r="A205" s="2">
        <f>+'2H filtrado'!C176</f>
        <v>0</v>
      </c>
      <c r="B205" s="2">
        <f>+'2H filtrado'!D176</f>
        <v>0</v>
      </c>
      <c r="C205" s="5">
        <f>+'2H filtrado'!N176</f>
        <v>0</v>
      </c>
      <c r="D205" s="5">
        <f t="shared" si="4"/>
        <v>-206.99945682995201</v>
      </c>
    </row>
    <row r="206" spans="1:4">
      <c r="A206" s="2">
        <f>+'2H filtrado'!C177</f>
        <v>0</v>
      </c>
      <c r="B206" s="2">
        <f>+'2H filtrado'!D177</f>
        <v>0</v>
      </c>
      <c r="C206" s="5">
        <f>+'2H filtrado'!N177</f>
        <v>0</v>
      </c>
      <c r="D206" s="5">
        <f t="shared" si="4"/>
        <v>-206.99945682995201</v>
      </c>
    </row>
    <row r="207" spans="1:4">
      <c r="A207" s="2">
        <f>+'2H filtrado'!C178</f>
        <v>0</v>
      </c>
      <c r="B207" s="2">
        <f>+'2H filtrado'!D178</f>
        <v>0</v>
      </c>
      <c r="C207" s="5">
        <f>+'2H filtrado'!N178</f>
        <v>0</v>
      </c>
      <c r="D207" s="5">
        <f t="shared" si="4"/>
        <v>-206.99945682995201</v>
      </c>
    </row>
    <row r="208" spans="1:4">
      <c r="A208" s="2">
        <f>+'2H filtrado'!C179</f>
        <v>0</v>
      </c>
      <c r="B208" s="2">
        <f>+'2H filtrado'!D179</f>
        <v>0</v>
      </c>
      <c r="C208" s="5">
        <f>+'2H filtrado'!N179</f>
        <v>0</v>
      </c>
      <c r="D208" s="5">
        <f t="shared" si="4"/>
        <v>-206.99945682995201</v>
      </c>
    </row>
    <row r="209" spans="1:4">
      <c r="A209" s="2">
        <f>+'2H filtrado'!C180</f>
        <v>0</v>
      </c>
      <c r="B209" s="2">
        <f>+'2H filtrado'!D180</f>
        <v>0</v>
      </c>
      <c r="C209" s="5">
        <f>+'2H filtrado'!N180</f>
        <v>0</v>
      </c>
      <c r="D209" s="5">
        <f t="shared" si="4"/>
        <v>-206.99945682995201</v>
      </c>
    </row>
    <row r="210" spans="1:4">
      <c r="A210" s="2">
        <f>+'2H filtrado'!C181</f>
        <v>0</v>
      </c>
      <c r="B210" s="2">
        <f>+'2H filtrado'!D181</f>
        <v>0</v>
      </c>
      <c r="C210" s="5">
        <f>+'2H filtrado'!N181</f>
        <v>0</v>
      </c>
      <c r="D210" s="5">
        <f t="shared" si="4"/>
        <v>-206.99945682995201</v>
      </c>
    </row>
    <row r="211" spans="1:4">
      <c r="A211" s="2">
        <f>+'2H filtrado'!C182</f>
        <v>0</v>
      </c>
      <c r="B211" s="2">
        <f>+'2H filtrado'!D182</f>
        <v>0</v>
      </c>
      <c r="C211" s="5">
        <f>+'2H filtrado'!N182</f>
        <v>0</v>
      </c>
      <c r="D211" s="5">
        <f t="shared" si="4"/>
        <v>-206.99945682995201</v>
      </c>
    </row>
    <row r="212" spans="1:4">
      <c r="A212" s="2">
        <f>+'2H filtrado'!C183</f>
        <v>0</v>
      </c>
      <c r="B212" s="2">
        <f>+'2H filtrado'!D183</f>
        <v>0</v>
      </c>
      <c r="C212" s="5">
        <f>+'2H filtrado'!N183</f>
        <v>0</v>
      </c>
      <c r="D212" s="5">
        <f t="shared" si="4"/>
        <v>-206.99945682995201</v>
      </c>
    </row>
    <row r="213" spans="1:4">
      <c r="A213" s="2">
        <f>+'2H filtrado'!C184</f>
        <v>0</v>
      </c>
      <c r="B213" s="2">
        <f>+'2H filtrado'!D184</f>
        <v>0</v>
      </c>
      <c r="C213" s="5">
        <f>+'2H filtrado'!N184</f>
        <v>0</v>
      </c>
      <c r="D213" s="5">
        <f t="shared" si="4"/>
        <v>-206.99945682995201</v>
      </c>
    </row>
    <row r="214" spans="1:4">
      <c r="A214" s="2">
        <f>+'2H filtrado'!C185</f>
        <v>0</v>
      </c>
      <c r="B214" s="2">
        <f>+'2H filtrado'!D185</f>
        <v>0</v>
      </c>
      <c r="C214" s="5">
        <f>+'2H filtrado'!N185</f>
        <v>0</v>
      </c>
      <c r="D214" s="5">
        <f t="shared" si="4"/>
        <v>-206.99945682995201</v>
      </c>
    </row>
    <row r="215" spans="1:4">
      <c r="A215" s="2">
        <f>+'2H filtrado'!C186</f>
        <v>0</v>
      </c>
      <c r="B215" s="2">
        <f>+'2H filtrado'!D186</f>
        <v>0</v>
      </c>
      <c r="C215" s="5">
        <f>+'2H filtrado'!N186</f>
        <v>0</v>
      </c>
      <c r="D215" s="5">
        <f t="shared" si="4"/>
        <v>-206.99945682995201</v>
      </c>
    </row>
    <row r="216" spans="1:4">
      <c r="A216" s="2">
        <f>+'2H filtrado'!C187</f>
        <v>0</v>
      </c>
      <c r="B216" s="2">
        <f>+'2H filtrado'!D187</f>
        <v>0</v>
      </c>
      <c r="C216" s="5">
        <f>+'2H filtrado'!N187</f>
        <v>0</v>
      </c>
      <c r="D216" s="5">
        <f t="shared" si="4"/>
        <v>-206.99945682995201</v>
      </c>
    </row>
    <row r="217" spans="1:4">
      <c r="A217" s="2">
        <f>+'2H filtrado'!C188</f>
        <v>0</v>
      </c>
      <c r="B217" s="2">
        <f>+'2H filtrado'!D188</f>
        <v>0</v>
      </c>
      <c r="C217" s="5">
        <f>+'2H filtrado'!N188</f>
        <v>0</v>
      </c>
      <c r="D217" s="5">
        <f t="shared" si="4"/>
        <v>-206.99945682995201</v>
      </c>
    </row>
    <row r="218" spans="1:4">
      <c r="A218" s="2">
        <f>+'2H filtrado'!C189</f>
        <v>0</v>
      </c>
      <c r="B218" s="2">
        <f>+'2H filtrado'!D189</f>
        <v>0</v>
      </c>
      <c r="C218" s="5">
        <f>+'2H filtrado'!N189</f>
        <v>0</v>
      </c>
      <c r="D218" s="5">
        <f t="shared" si="4"/>
        <v>-206.99945682995201</v>
      </c>
    </row>
    <row r="219" spans="1:4">
      <c r="A219" s="2">
        <f>+'2H filtrado'!C190</f>
        <v>0</v>
      </c>
      <c r="B219" s="2">
        <f>+'2H filtrado'!D190</f>
        <v>0</v>
      </c>
      <c r="C219" s="5">
        <f>+'2H filtrado'!N190</f>
        <v>0</v>
      </c>
      <c r="D219" s="5">
        <f t="shared" si="4"/>
        <v>-206.99945682995201</v>
      </c>
    </row>
    <row r="220" spans="1:4">
      <c r="A220" s="2">
        <f>+'2H filtrado'!C191</f>
        <v>0</v>
      </c>
      <c r="B220" s="2">
        <f>+'2H filtrado'!D191</f>
        <v>0</v>
      </c>
      <c r="C220" s="5">
        <f>+'2H filtrado'!N191</f>
        <v>0</v>
      </c>
      <c r="D220" s="5">
        <f t="shared" si="4"/>
        <v>-206.99945682995201</v>
      </c>
    </row>
    <row r="221" spans="1:4">
      <c r="A221" s="2">
        <f>+'2H filtrado'!C192</f>
        <v>0</v>
      </c>
      <c r="B221" s="2">
        <f>+'2H filtrado'!D192</f>
        <v>0</v>
      </c>
      <c r="C221" s="5">
        <f>+'2H filtrado'!N192</f>
        <v>0</v>
      </c>
      <c r="D221" s="5">
        <f t="shared" si="4"/>
        <v>-206.99945682995201</v>
      </c>
    </row>
    <row r="222" spans="1:4">
      <c r="A222" s="2">
        <f>+'2H filtrado'!C193</f>
        <v>0</v>
      </c>
      <c r="B222" s="2">
        <f>+'2H filtrado'!D193</f>
        <v>0</v>
      </c>
      <c r="C222" s="5">
        <f>+'2H filtrado'!N193</f>
        <v>0</v>
      </c>
      <c r="D222" s="5">
        <f t="shared" si="4"/>
        <v>-206.99945682995201</v>
      </c>
    </row>
    <row r="223" spans="1:4">
      <c r="A223" s="2">
        <f>+'2H filtrado'!C194</f>
        <v>0</v>
      </c>
      <c r="B223" s="2">
        <f>+'2H filtrado'!D194</f>
        <v>0</v>
      </c>
      <c r="C223" s="5">
        <f>+'2H filtrado'!N194</f>
        <v>0</v>
      </c>
      <c r="D223" s="5">
        <f t="shared" si="4"/>
        <v>-206.99945682995201</v>
      </c>
    </row>
    <row r="224" spans="1:4">
      <c r="A224" s="2">
        <f>+'2H filtrado'!C195</f>
        <v>0</v>
      </c>
      <c r="B224" s="2">
        <f>+'2H filtrado'!D195</f>
        <v>0</v>
      </c>
      <c r="C224" s="5">
        <f>+'2H filtrado'!N195</f>
        <v>0</v>
      </c>
      <c r="D224" s="5">
        <f t="shared" ref="D224:D287" si="5">+(C224-$N$22)/$N$21</f>
        <v>-206.99945682995201</v>
      </c>
    </row>
    <row r="225" spans="1:4">
      <c r="A225" s="2">
        <f>+'2H filtrado'!C196</f>
        <v>0</v>
      </c>
      <c r="B225" s="2">
        <f>+'2H filtrado'!D196</f>
        <v>0</v>
      </c>
      <c r="C225" s="5">
        <f>+'2H filtrado'!N196</f>
        <v>0</v>
      </c>
      <c r="D225" s="5">
        <f t="shared" si="5"/>
        <v>-206.99945682995201</v>
      </c>
    </row>
    <row r="226" spans="1:4">
      <c r="A226" s="2">
        <f>+'2H filtrado'!C197</f>
        <v>0</v>
      </c>
      <c r="B226" s="2">
        <f>+'2H filtrado'!D197</f>
        <v>0</v>
      </c>
      <c r="C226" s="5">
        <f>+'2H filtrado'!N197</f>
        <v>0</v>
      </c>
      <c r="D226" s="5">
        <f t="shared" si="5"/>
        <v>-206.99945682995201</v>
      </c>
    </row>
    <row r="227" spans="1:4">
      <c r="A227" s="2">
        <f>+'2H filtrado'!C198</f>
        <v>0</v>
      </c>
      <c r="B227" s="2">
        <f>+'2H filtrado'!D198</f>
        <v>0</v>
      </c>
      <c r="C227" s="5">
        <f>+'2H filtrado'!N198</f>
        <v>0</v>
      </c>
      <c r="D227" s="5">
        <f t="shared" si="5"/>
        <v>-206.99945682995201</v>
      </c>
    </row>
    <row r="228" spans="1:4">
      <c r="A228" s="2">
        <f>+'2H filtrado'!C199</f>
        <v>0</v>
      </c>
      <c r="B228" s="2">
        <f>+'2H filtrado'!D199</f>
        <v>0</v>
      </c>
      <c r="C228" s="5">
        <f>+'2H filtrado'!N199</f>
        <v>0</v>
      </c>
      <c r="D228" s="5">
        <f t="shared" si="5"/>
        <v>-206.99945682995201</v>
      </c>
    </row>
    <row r="229" spans="1:4">
      <c r="A229" s="2">
        <f>+'2H filtrado'!C200</f>
        <v>0</v>
      </c>
      <c r="B229" s="2">
        <f>+'2H filtrado'!D200</f>
        <v>0</v>
      </c>
      <c r="C229" s="5">
        <f>+'2H filtrado'!N200</f>
        <v>0</v>
      </c>
      <c r="D229" s="5">
        <f t="shared" si="5"/>
        <v>-206.99945682995201</v>
      </c>
    </row>
    <row r="230" spans="1:4">
      <c r="A230" s="2">
        <f>+'2H filtrado'!C201</f>
        <v>0</v>
      </c>
      <c r="B230" s="2">
        <f>+'2H filtrado'!D201</f>
        <v>0</v>
      </c>
      <c r="C230" s="5">
        <f>+'2H filtrado'!N201</f>
        <v>0</v>
      </c>
      <c r="D230" s="5">
        <f t="shared" si="5"/>
        <v>-206.99945682995201</v>
      </c>
    </row>
    <row r="231" spans="1:4">
      <c r="A231" s="2">
        <f>+'2H filtrado'!C202</f>
        <v>0</v>
      </c>
      <c r="B231" s="2">
        <f>+'2H filtrado'!D202</f>
        <v>0</v>
      </c>
      <c r="C231" s="5">
        <f>+'2H filtrado'!N202</f>
        <v>0</v>
      </c>
      <c r="D231" s="5">
        <f t="shared" si="5"/>
        <v>-206.99945682995201</v>
      </c>
    </row>
    <row r="232" spans="1:4">
      <c r="A232" s="2">
        <f>+'2H filtrado'!C203</f>
        <v>0</v>
      </c>
      <c r="B232" s="2">
        <f>+'2H filtrado'!D203</f>
        <v>0</v>
      </c>
      <c r="C232" s="5">
        <f>+'2H filtrado'!N203</f>
        <v>0</v>
      </c>
      <c r="D232" s="5">
        <f t="shared" si="5"/>
        <v>-206.99945682995201</v>
      </c>
    </row>
    <row r="233" spans="1:4">
      <c r="A233" s="2">
        <f>+'2H filtrado'!C204</f>
        <v>0</v>
      </c>
      <c r="B233" s="2">
        <f>+'2H filtrado'!D204</f>
        <v>0</v>
      </c>
      <c r="C233" s="5">
        <f>+'2H filtrado'!N204</f>
        <v>0</v>
      </c>
      <c r="D233" s="5">
        <f t="shared" si="5"/>
        <v>-206.99945682995201</v>
      </c>
    </row>
    <row r="234" spans="1:4">
      <c r="A234" s="2">
        <f>+'2H filtrado'!C205</f>
        <v>0</v>
      </c>
      <c r="B234" s="2">
        <f>+'2H filtrado'!D205</f>
        <v>0</v>
      </c>
      <c r="C234" s="5">
        <f>+'2H filtrado'!N205</f>
        <v>0</v>
      </c>
      <c r="D234" s="5">
        <f t="shared" si="5"/>
        <v>-206.99945682995201</v>
      </c>
    </row>
    <row r="235" spans="1:4">
      <c r="A235" s="2">
        <f>+'2H filtrado'!C206</f>
        <v>0</v>
      </c>
      <c r="B235" s="2">
        <f>+'2H filtrado'!D206</f>
        <v>0</v>
      </c>
      <c r="C235" s="5">
        <f>+'2H filtrado'!N206</f>
        <v>0</v>
      </c>
      <c r="D235" s="5">
        <f t="shared" si="5"/>
        <v>-206.99945682995201</v>
      </c>
    </row>
    <row r="236" spans="1:4">
      <c r="A236" s="2">
        <f>+'2H filtrado'!C207</f>
        <v>0</v>
      </c>
      <c r="B236" s="2">
        <f>+'2H filtrado'!D207</f>
        <v>0</v>
      </c>
      <c r="C236" s="5">
        <f>+'2H filtrado'!N207</f>
        <v>0</v>
      </c>
      <c r="D236" s="5">
        <f t="shared" si="5"/>
        <v>-206.99945682995201</v>
      </c>
    </row>
    <row r="237" spans="1:4">
      <c r="A237" s="2">
        <f>+'2H filtrado'!C208</f>
        <v>0</v>
      </c>
      <c r="B237" s="2">
        <f>+'2H filtrado'!D208</f>
        <v>0</v>
      </c>
      <c r="C237" s="5">
        <f>+'2H filtrado'!N208</f>
        <v>0</v>
      </c>
      <c r="D237" s="5">
        <f t="shared" si="5"/>
        <v>-206.99945682995201</v>
      </c>
    </row>
    <row r="238" spans="1:4">
      <c r="A238" s="2">
        <f>+'2H filtrado'!C209</f>
        <v>0</v>
      </c>
      <c r="B238" s="2">
        <f>+'2H filtrado'!D209</f>
        <v>0</v>
      </c>
      <c r="C238" s="5">
        <f>+'2H filtrado'!N209</f>
        <v>0</v>
      </c>
      <c r="D238" s="5">
        <f t="shared" si="5"/>
        <v>-206.99945682995201</v>
      </c>
    </row>
    <row r="239" spans="1:4">
      <c r="A239" s="2">
        <f>+'2H filtrado'!C210</f>
        <v>0</v>
      </c>
      <c r="B239" s="2">
        <f>+'2H filtrado'!D210</f>
        <v>0</v>
      </c>
      <c r="C239" s="5">
        <f>+'2H filtrado'!N210</f>
        <v>0</v>
      </c>
      <c r="D239" s="5">
        <f t="shared" si="5"/>
        <v>-206.99945682995201</v>
      </c>
    </row>
    <row r="240" spans="1:4">
      <c r="A240" s="2">
        <f>+'2H filtrado'!C211</f>
        <v>0</v>
      </c>
      <c r="B240" s="2">
        <f>+'2H filtrado'!D211</f>
        <v>0</v>
      </c>
      <c r="C240" s="5">
        <f>+'2H filtrado'!N211</f>
        <v>0</v>
      </c>
      <c r="D240" s="5">
        <f t="shared" si="5"/>
        <v>-206.99945682995201</v>
      </c>
    </row>
    <row r="241" spans="1:4">
      <c r="A241" s="2">
        <f>+'2H filtrado'!C212</f>
        <v>0</v>
      </c>
      <c r="B241" s="2">
        <f>+'2H filtrado'!D212</f>
        <v>0</v>
      </c>
      <c r="C241" s="5">
        <f>+'2H filtrado'!N212</f>
        <v>0</v>
      </c>
      <c r="D241" s="5">
        <f t="shared" si="5"/>
        <v>-206.99945682995201</v>
      </c>
    </row>
    <row r="242" spans="1:4">
      <c r="A242" s="2">
        <f>+'2H filtrado'!C213</f>
        <v>0</v>
      </c>
      <c r="B242" s="2">
        <f>+'2H filtrado'!D213</f>
        <v>0</v>
      </c>
      <c r="C242" s="5">
        <f>+'2H filtrado'!N213</f>
        <v>0</v>
      </c>
      <c r="D242" s="5">
        <f t="shared" si="5"/>
        <v>-206.99945682995201</v>
      </c>
    </row>
    <row r="243" spans="1:4">
      <c r="A243" s="2">
        <f>+'2H filtrado'!C214</f>
        <v>0</v>
      </c>
      <c r="B243" s="2">
        <f>+'2H filtrado'!D214</f>
        <v>0</v>
      </c>
      <c r="C243" s="5">
        <f>+'2H filtrado'!N214</f>
        <v>0</v>
      </c>
      <c r="D243" s="5">
        <f t="shared" si="5"/>
        <v>-206.99945682995201</v>
      </c>
    </row>
    <row r="244" spans="1:4">
      <c r="A244" s="2">
        <f>+'2H filtrado'!C215</f>
        <v>0</v>
      </c>
      <c r="B244" s="2">
        <f>+'2H filtrado'!D215</f>
        <v>0</v>
      </c>
      <c r="C244" s="5">
        <f>+'2H filtrado'!N215</f>
        <v>0</v>
      </c>
      <c r="D244" s="5">
        <f t="shared" si="5"/>
        <v>-206.99945682995201</v>
      </c>
    </row>
    <row r="245" spans="1:4">
      <c r="A245" s="2">
        <f>+'2H filtrado'!C216</f>
        <v>0</v>
      </c>
      <c r="B245" s="2">
        <f>+'2H filtrado'!D216</f>
        <v>0</v>
      </c>
      <c r="C245" s="5">
        <f>+'2H filtrado'!N216</f>
        <v>0</v>
      </c>
      <c r="D245" s="5">
        <f t="shared" si="5"/>
        <v>-206.99945682995201</v>
      </c>
    </row>
    <row r="246" spans="1:4">
      <c r="A246" s="2">
        <f>+'2H filtrado'!C217</f>
        <v>0</v>
      </c>
      <c r="B246" s="2">
        <f>+'2H filtrado'!D217</f>
        <v>0</v>
      </c>
      <c r="C246" s="5">
        <f>+'2H filtrado'!N217</f>
        <v>0</v>
      </c>
      <c r="D246" s="5">
        <f t="shared" si="5"/>
        <v>-206.99945682995201</v>
      </c>
    </row>
    <row r="247" spans="1:4">
      <c r="A247" s="2">
        <f>+'2H filtrado'!C218</f>
        <v>0</v>
      </c>
      <c r="B247" s="2">
        <f>+'2H filtrado'!D218</f>
        <v>0</v>
      </c>
      <c r="C247" s="5">
        <f>+'2H filtrado'!N218</f>
        <v>0</v>
      </c>
      <c r="D247" s="5">
        <f t="shared" si="5"/>
        <v>-206.99945682995201</v>
      </c>
    </row>
    <row r="248" spans="1:4">
      <c r="A248" s="2">
        <f>+'2H filtrado'!C219</f>
        <v>0</v>
      </c>
      <c r="B248" s="2">
        <f>+'2H filtrado'!D219</f>
        <v>0</v>
      </c>
      <c r="C248" s="5">
        <f>+'2H filtrado'!N219</f>
        <v>0</v>
      </c>
      <c r="D248" s="5">
        <f t="shared" si="5"/>
        <v>-206.99945682995201</v>
      </c>
    </row>
    <row r="249" spans="1:4">
      <c r="A249" s="2">
        <f>+'2H filtrado'!C220</f>
        <v>0</v>
      </c>
      <c r="B249" s="2">
        <f>+'2H filtrado'!D220</f>
        <v>0</v>
      </c>
      <c r="C249" s="5">
        <f>+'2H filtrado'!N220</f>
        <v>0</v>
      </c>
      <c r="D249" s="5">
        <f t="shared" si="5"/>
        <v>-206.99945682995201</v>
      </c>
    </row>
    <row r="250" spans="1:4">
      <c r="A250" s="2">
        <f>+'2H filtrado'!C221</f>
        <v>0</v>
      </c>
      <c r="B250" s="2">
        <f>+'2H filtrado'!D221</f>
        <v>0</v>
      </c>
      <c r="C250" s="5">
        <f>+'2H filtrado'!N221</f>
        <v>0</v>
      </c>
      <c r="D250" s="5">
        <f t="shared" si="5"/>
        <v>-206.99945682995201</v>
      </c>
    </row>
    <row r="251" spans="1:4">
      <c r="A251" s="2">
        <f>+'2H filtrado'!C222</f>
        <v>0</v>
      </c>
      <c r="B251" s="2">
        <f>+'2H filtrado'!D222</f>
        <v>0</v>
      </c>
      <c r="C251" s="5">
        <f>+'2H filtrado'!N222</f>
        <v>0</v>
      </c>
      <c r="D251" s="5">
        <f t="shared" si="5"/>
        <v>-206.99945682995201</v>
      </c>
    </row>
    <row r="252" spans="1:4">
      <c r="A252" s="2">
        <f>+'2H filtrado'!C223</f>
        <v>0</v>
      </c>
      <c r="B252" s="2">
        <f>+'2H filtrado'!D223</f>
        <v>0</v>
      </c>
      <c r="C252" s="5">
        <f>+'2H filtrado'!N223</f>
        <v>0</v>
      </c>
      <c r="D252" s="5">
        <f t="shared" si="5"/>
        <v>-206.99945682995201</v>
      </c>
    </row>
    <row r="253" spans="1:4">
      <c r="A253" s="2">
        <f>+'2H filtrado'!C224</f>
        <v>0</v>
      </c>
      <c r="B253" s="2">
        <f>+'2H filtrado'!D224</f>
        <v>0</v>
      </c>
      <c r="C253" s="5">
        <f>+'2H filtrado'!N224</f>
        <v>0</v>
      </c>
      <c r="D253" s="5">
        <f t="shared" si="5"/>
        <v>-206.99945682995201</v>
      </c>
    </row>
    <row r="254" spans="1:4">
      <c r="A254" s="2">
        <f>+'2H filtrado'!C225</f>
        <v>0</v>
      </c>
      <c r="B254" s="2">
        <f>+'2H filtrado'!D225</f>
        <v>0</v>
      </c>
      <c r="C254" s="5">
        <f>+'2H filtrado'!N225</f>
        <v>0</v>
      </c>
      <c r="D254" s="5">
        <f t="shared" si="5"/>
        <v>-206.99945682995201</v>
      </c>
    </row>
    <row r="255" spans="1:4">
      <c r="A255" s="2">
        <f>+'2H filtrado'!C226</f>
        <v>0</v>
      </c>
      <c r="B255" s="2">
        <f>+'2H filtrado'!D226</f>
        <v>0</v>
      </c>
      <c r="C255" s="5">
        <f>+'2H filtrado'!N226</f>
        <v>0</v>
      </c>
      <c r="D255" s="5">
        <f t="shared" si="5"/>
        <v>-206.99945682995201</v>
      </c>
    </row>
    <row r="256" spans="1:4">
      <c r="A256" s="2">
        <f>+'2H filtrado'!C227</f>
        <v>0</v>
      </c>
      <c r="B256" s="2">
        <f>+'2H filtrado'!D227</f>
        <v>0</v>
      </c>
      <c r="C256" s="5">
        <f>+'2H filtrado'!N227</f>
        <v>0</v>
      </c>
      <c r="D256" s="5">
        <f t="shared" si="5"/>
        <v>-206.99945682995201</v>
      </c>
    </row>
    <row r="257" spans="1:4">
      <c r="A257" s="2">
        <f>+'2H filtrado'!C228</f>
        <v>0</v>
      </c>
      <c r="B257" s="2">
        <f>+'2H filtrado'!D228</f>
        <v>0</v>
      </c>
      <c r="C257" s="5">
        <f>+'2H filtrado'!N228</f>
        <v>0</v>
      </c>
      <c r="D257" s="5">
        <f t="shared" si="5"/>
        <v>-206.99945682995201</v>
      </c>
    </row>
    <row r="258" spans="1:4">
      <c r="A258" s="2">
        <f>+'2H filtrado'!C229</f>
        <v>0</v>
      </c>
      <c r="B258" s="2">
        <f>+'2H filtrado'!D229</f>
        <v>0</v>
      </c>
      <c r="C258" s="5">
        <f>+'2H filtrado'!N229</f>
        <v>0</v>
      </c>
      <c r="D258" s="5">
        <f t="shared" si="5"/>
        <v>-206.99945682995201</v>
      </c>
    </row>
    <row r="259" spans="1:4">
      <c r="A259" s="2">
        <f>+'2H filtrado'!C230</f>
        <v>0</v>
      </c>
      <c r="B259" s="2">
        <f>+'2H filtrado'!D230</f>
        <v>0</v>
      </c>
      <c r="C259" s="5">
        <f>+'2H filtrado'!N230</f>
        <v>0</v>
      </c>
      <c r="D259" s="5">
        <f t="shared" si="5"/>
        <v>-206.99945682995201</v>
      </c>
    </row>
    <row r="260" spans="1:4">
      <c r="A260" s="2">
        <f>+'2H filtrado'!C231</f>
        <v>0</v>
      </c>
      <c r="B260" s="2">
        <f>+'2H filtrado'!D231</f>
        <v>0</v>
      </c>
      <c r="C260" s="5">
        <f>+'2H filtrado'!N231</f>
        <v>0</v>
      </c>
      <c r="D260" s="5">
        <f t="shared" si="5"/>
        <v>-206.99945682995201</v>
      </c>
    </row>
    <row r="261" spans="1:4">
      <c r="A261" s="2">
        <f>+'2H filtrado'!C232</f>
        <v>0</v>
      </c>
      <c r="B261" s="2">
        <f>+'2H filtrado'!D232</f>
        <v>0</v>
      </c>
      <c r="C261" s="5">
        <f>+'2H filtrado'!N232</f>
        <v>0</v>
      </c>
      <c r="D261" s="5">
        <f t="shared" si="5"/>
        <v>-206.99945682995201</v>
      </c>
    </row>
    <row r="262" spans="1:4">
      <c r="A262" s="2">
        <f>+'2H filtrado'!C233</f>
        <v>0</v>
      </c>
      <c r="B262" s="2">
        <f>+'2H filtrado'!D233</f>
        <v>0</v>
      </c>
      <c r="C262" s="5">
        <f>+'2H filtrado'!N233</f>
        <v>0</v>
      </c>
      <c r="D262" s="5">
        <f t="shared" si="5"/>
        <v>-206.99945682995201</v>
      </c>
    </row>
    <row r="263" spans="1:4">
      <c r="A263" s="2">
        <f>+'2H filtrado'!C234</f>
        <v>0</v>
      </c>
      <c r="B263" s="2">
        <f>+'2H filtrado'!D234</f>
        <v>0</v>
      </c>
      <c r="C263" s="5">
        <f>+'2H filtrado'!N234</f>
        <v>0</v>
      </c>
      <c r="D263" s="5">
        <f t="shared" si="5"/>
        <v>-206.99945682995201</v>
      </c>
    </row>
    <row r="264" spans="1:4">
      <c r="A264" s="2">
        <f>+'2H filtrado'!C235</f>
        <v>0</v>
      </c>
      <c r="B264" s="2">
        <f>+'2H filtrado'!D235</f>
        <v>0</v>
      </c>
      <c r="C264" s="5">
        <f>+'2H filtrado'!N235</f>
        <v>0</v>
      </c>
      <c r="D264" s="5">
        <f t="shared" si="5"/>
        <v>-206.99945682995201</v>
      </c>
    </row>
    <row r="265" spans="1:4">
      <c r="A265" s="2">
        <f>+'2H filtrado'!C236</f>
        <v>0</v>
      </c>
      <c r="B265" s="2">
        <f>+'2H filtrado'!D236</f>
        <v>0</v>
      </c>
      <c r="C265" s="5">
        <f>+'2H filtrado'!N236</f>
        <v>0</v>
      </c>
      <c r="D265" s="5">
        <f t="shared" si="5"/>
        <v>-206.99945682995201</v>
      </c>
    </row>
    <row r="266" spans="1:4">
      <c r="A266" s="2">
        <f>+'2H filtrado'!C237</f>
        <v>0</v>
      </c>
      <c r="B266" s="2">
        <f>+'2H filtrado'!D237</f>
        <v>0</v>
      </c>
      <c r="C266" s="5">
        <f>+'2H filtrado'!N237</f>
        <v>0</v>
      </c>
      <c r="D266" s="5">
        <f t="shared" si="5"/>
        <v>-206.99945682995201</v>
      </c>
    </row>
    <row r="267" spans="1:4">
      <c r="A267" s="2">
        <f>+'2H filtrado'!C238</f>
        <v>0</v>
      </c>
      <c r="B267" s="2">
        <f>+'2H filtrado'!D238</f>
        <v>0</v>
      </c>
      <c r="C267" s="5">
        <f>+'2H filtrado'!N238</f>
        <v>0</v>
      </c>
      <c r="D267" s="5">
        <f t="shared" si="5"/>
        <v>-206.99945682995201</v>
      </c>
    </row>
    <row r="268" spans="1:4">
      <c r="A268" s="2">
        <f>+'2H filtrado'!C239</f>
        <v>0</v>
      </c>
      <c r="B268" s="2">
        <f>+'2H filtrado'!D239</f>
        <v>0</v>
      </c>
      <c r="C268" s="5">
        <f>+'2H filtrado'!N239</f>
        <v>0</v>
      </c>
      <c r="D268" s="5">
        <f t="shared" si="5"/>
        <v>-206.99945682995201</v>
      </c>
    </row>
    <row r="269" spans="1:4">
      <c r="A269" s="2">
        <f>+'2H filtrado'!C240</f>
        <v>0</v>
      </c>
      <c r="B269" s="2">
        <f>+'2H filtrado'!D240</f>
        <v>0</v>
      </c>
      <c r="C269" s="5">
        <f>+'2H filtrado'!N240</f>
        <v>0</v>
      </c>
      <c r="D269" s="5">
        <f t="shared" si="5"/>
        <v>-206.99945682995201</v>
      </c>
    </row>
    <row r="270" spans="1:4">
      <c r="A270" s="2">
        <f>+'2H filtrado'!C241</f>
        <v>0</v>
      </c>
      <c r="B270" s="2">
        <f>+'2H filtrado'!D241</f>
        <v>0</v>
      </c>
      <c r="C270" s="5">
        <f>+'2H filtrado'!N241</f>
        <v>0</v>
      </c>
      <c r="D270" s="5">
        <f t="shared" si="5"/>
        <v>-206.99945682995201</v>
      </c>
    </row>
    <row r="271" spans="1:4">
      <c r="A271" s="2">
        <f>+'2H filtrado'!C242</f>
        <v>0</v>
      </c>
      <c r="B271" s="2">
        <f>+'2H filtrado'!D242</f>
        <v>0</v>
      </c>
      <c r="C271" s="5">
        <f>+'2H filtrado'!N242</f>
        <v>0</v>
      </c>
      <c r="D271" s="5">
        <f t="shared" si="5"/>
        <v>-206.99945682995201</v>
      </c>
    </row>
    <row r="272" spans="1:4">
      <c r="A272" s="2">
        <f>+'2H filtrado'!C243</f>
        <v>0</v>
      </c>
      <c r="B272" s="2">
        <f>+'2H filtrado'!D243</f>
        <v>0</v>
      </c>
      <c r="C272" s="5">
        <f>+'2H filtrado'!N243</f>
        <v>0</v>
      </c>
      <c r="D272" s="5">
        <f t="shared" si="5"/>
        <v>-206.99945682995201</v>
      </c>
    </row>
    <row r="273" spans="1:4">
      <c r="A273" s="2">
        <f>+'2H filtrado'!C244</f>
        <v>0</v>
      </c>
      <c r="B273" s="2">
        <f>+'2H filtrado'!D244</f>
        <v>0</v>
      </c>
      <c r="C273" s="5">
        <f>+'2H filtrado'!N244</f>
        <v>0</v>
      </c>
      <c r="D273" s="5">
        <f t="shared" si="5"/>
        <v>-206.99945682995201</v>
      </c>
    </row>
    <row r="274" spans="1:4">
      <c r="A274" s="2">
        <f>+'2H filtrado'!C245</f>
        <v>0</v>
      </c>
      <c r="B274" s="2">
        <f>+'2H filtrado'!D245</f>
        <v>0</v>
      </c>
      <c r="C274" s="5">
        <f>+'2H filtrado'!N245</f>
        <v>0</v>
      </c>
      <c r="D274" s="5">
        <f t="shared" si="5"/>
        <v>-206.99945682995201</v>
      </c>
    </row>
    <row r="275" spans="1:4">
      <c r="A275" s="2">
        <f>+'2H filtrado'!C246</f>
        <v>0</v>
      </c>
      <c r="B275" s="2">
        <f>+'2H filtrado'!D246</f>
        <v>0</v>
      </c>
      <c r="C275" s="5">
        <f>+'2H filtrado'!N246</f>
        <v>0</v>
      </c>
      <c r="D275" s="5">
        <f t="shared" si="5"/>
        <v>-206.99945682995201</v>
      </c>
    </row>
    <row r="276" spans="1:4">
      <c r="A276" s="2">
        <f>+'2H filtrado'!C247</f>
        <v>0</v>
      </c>
      <c r="B276" s="2">
        <f>+'2H filtrado'!D247</f>
        <v>0</v>
      </c>
      <c r="C276" s="5">
        <f>+'2H filtrado'!N247</f>
        <v>0</v>
      </c>
      <c r="D276" s="5">
        <f t="shared" si="5"/>
        <v>-206.99945682995201</v>
      </c>
    </row>
    <row r="277" spans="1:4">
      <c r="A277" s="2">
        <f>+'2H filtrado'!C248</f>
        <v>0</v>
      </c>
      <c r="B277" s="2">
        <f>+'2H filtrado'!D248</f>
        <v>0</v>
      </c>
      <c r="C277" s="5">
        <f>+'2H filtrado'!N248</f>
        <v>0</v>
      </c>
      <c r="D277" s="5">
        <f t="shared" si="5"/>
        <v>-206.99945682995201</v>
      </c>
    </row>
    <row r="278" spans="1:4">
      <c r="A278" s="2">
        <f>+'2H filtrado'!C249</f>
        <v>0</v>
      </c>
      <c r="B278" s="2">
        <f>+'2H filtrado'!D249</f>
        <v>0</v>
      </c>
      <c r="C278" s="5">
        <f>+'2H filtrado'!N249</f>
        <v>0</v>
      </c>
      <c r="D278" s="5">
        <f t="shared" si="5"/>
        <v>-206.99945682995201</v>
      </c>
    </row>
    <row r="279" spans="1:4">
      <c r="A279" s="2">
        <f>+'2H filtrado'!C250</f>
        <v>0</v>
      </c>
      <c r="B279" s="2">
        <f>+'2H filtrado'!D250</f>
        <v>0</v>
      </c>
      <c r="C279" s="5">
        <f>+'2H filtrado'!N250</f>
        <v>0</v>
      </c>
      <c r="D279" s="5">
        <f t="shared" si="5"/>
        <v>-206.99945682995201</v>
      </c>
    </row>
    <row r="280" spans="1:4">
      <c r="A280" s="2">
        <f>+'2H filtrado'!C251</f>
        <v>0</v>
      </c>
      <c r="B280" s="2">
        <f>+'2H filtrado'!D251</f>
        <v>0</v>
      </c>
      <c r="C280" s="5">
        <f>+'2H filtrado'!N251</f>
        <v>0</v>
      </c>
      <c r="D280" s="5">
        <f t="shared" si="5"/>
        <v>-206.99945682995201</v>
      </c>
    </row>
    <row r="281" spans="1:4">
      <c r="A281" s="2">
        <f>+'2H filtrado'!C252</f>
        <v>0</v>
      </c>
      <c r="B281" s="2">
        <f>+'2H filtrado'!D252</f>
        <v>0</v>
      </c>
      <c r="C281" s="5">
        <f>+'2H filtrado'!N252</f>
        <v>0</v>
      </c>
      <c r="D281" s="5">
        <f t="shared" si="5"/>
        <v>-206.99945682995201</v>
      </c>
    </row>
    <row r="282" spans="1:4">
      <c r="A282" s="2">
        <f>+'2H filtrado'!C253</f>
        <v>0</v>
      </c>
      <c r="B282" s="2">
        <f>+'2H filtrado'!D253</f>
        <v>0</v>
      </c>
      <c r="C282" s="5">
        <f>+'2H filtrado'!N253</f>
        <v>0</v>
      </c>
      <c r="D282" s="5">
        <f t="shared" si="5"/>
        <v>-206.99945682995201</v>
      </c>
    </row>
    <row r="283" spans="1:4">
      <c r="A283" s="2">
        <f>+'2H filtrado'!C254</f>
        <v>0</v>
      </c>
      <c r="B283" s="2">
        <f>+'2H filtrado'!D254</f>
        <v>0</v>
      </c>
      <c r="C283" s="5">
        <f>+'2H filtrado'!N254</f>
        <v>0</v>
      </c>
      <c r="D283" s="5">
        <f t="shared" si="5"/>
        <v>-206.99945682995201</v>
      </c>
    </row>
    <row r="284" spans="1:4">
      <c r="A284" s="2">
        <f>+'2H filtrado'!C255</f>
        <v>0</v>
      </c>
      <c r="B284" s="2">
        <f>+'2H filtrado'!D255</f>
        <v>0</v>
      </c>
      <c r="C284" s="5">
        <f>+'2H filtrado'!N255</f>
        <v>0</v>
      </c>
      <c r="D284" s="5">
        <f t="shared" si="5"/>
        <v>-206.99945682995201</v>
      </c>
    </row>
    <row r="285" spans="1:4">
      <c r="A285" s="2">
        <f>+'2H filtrado'!C256</f>
        <v>0</v>
      </c>
      <c r="B285" s="2">
        <f>+'2H filtrado'!D256</f>
        <v>0</v>
      </c>
      <c r="C285" s="5">
        <f>+'2H filtrado'!N256</f>
        <v>0</v>
      </c>
      <c r="D285" s="5">
        <f t="shared" si="5"/>
        <v>-206.99945682995201</v>
      </c>
    </row>
    <row r="286" spans="1:4">
      <c r="A286" s="2">
        <f>+'2H filtrado'!C257</f>
        <v>0</v>
      </c>
      <c r="B286" s="2">
        <f>+'2H filtrado'!D257</f>
        <v>0</v>
      </c>
      <c r="C286" s="5">
        <f>+'2H filtrado'!N257</f>
        <v>0</v>
      </c>
      <c r="D286" s="5">
        <f t="shared" si="5"/>
        <v>-206.99945682995201</v>
      </c>
    </row>
    <row r="287" spans="1:4">
      <c r="A287" s="2">
        <f>+'2H filtrado'!C258</f>
        <v>0</v>
      </c>
      <c r="B287" s="2">
        <f>+'2H filtrado'!D258</f>
        <v>0</v>
      </c>
      <c r="C287" s="5">
        <f>+'2H filtrado'!N258</f>
        <v>0</v>
      </c>
      <c r="D287" s="5">
        <f t="shared" si="5"/>
        <v>-206.99945682995201</v>
      </c>
    </row>
    <row r="288" spans="1:4">
      <c r="A288" s="2">
        <f>+'2H filtrado'!C259</f>
        <v>0</v>
      </c>
      <c r="B288" s="2">
        <f>+'2H filtrado'!D259</f>
        <v>0</v>
      </c>
      <c r="C288" s="5">
        <f>+'2H filtrado'!N259</f>
        <v>0</v>
      </c>
      <c r="D288" s="5">
        <f t="shared" ref="D288:D351" si="6">+(C288-$N$22)/$N$21</f>
        <v>-206.99945682995201</v>
      </c>
    </row>
    <row r="289" spans="1:4">
      <c r="A289" s="2">
        <f>+'2H filtrado'!C260</f>
        <v>0</v>
      </c>
      <c r="B289" s="2">
        <f>+'2H filtrado'!D260</f>
        <v>0</v>
      </c>
      <c r="C289" s="5">
        <f>+'2H filtrado'!N260</f>
        <v>0</v>
      </c>
      <c r="D289" s="5">
        <f t="shared" si="6"/>
        <v>-206.99945682995201</v>
      </c>
    </row>
    <row r="290" spans="1:4">
      <c r="A290" s="2">
        <f>+'2H filtrado'!C261</f>
        <v>0</v>
      </c>
      <c r="B290" s="2">
        <f>+'2H filtrado'!D261</f>
        <v>0</v>
      </c>
      <c r="C290" s="5">
        <f>+'2H filtrado'!N261</f>
        <v>0</v>
      </c>
      <c r="D290" s="5">
        <f t="shared" si="6"/>
        <v>-206.99945682995201</v>
      </c>
    </row>
    <row r="291" spans="1:4">
      <c r="A291" s="2">
        <f>+'2H filtrado'!C262</f>
        <v>0</v>
      </c>
      <c r="B291" s="2">
        <f>+'2H filtrado'!D262</f>
        <v>0</v>
      </c>
      <c r="C291" s="5">
        <f>+'2H filtrado'!N262</f>
        <v>0</v>
      </c>
      <c r="D291" s="5">
        <f t="shared" si="6"/>
        <v>-206.99945682995201</v>
      </c>
    </row>
    <row r="292" spans="1:4">
      <c r="A292" s="2">
        <f>+'2H filtrado'!C263</f>
        <v>0</v>
      </c>
      <c r="B292" s="2">
        <f>+'2H filtrado'!D263</f>
        <v>0</v>
      </c>
      <c r="C292" s="5">
        <f>+'2H filtrado'!N263</f>
        <v>0</v>
      </c>
      <c r="D292" s="5">
        <f t="shared" si="6"/>
        <v>-206.99945682995201</v>
      </c>
    </row>
    <row r="293" spans="1:4">
      <c r="A293" s="2">
        <f>+'2H filtrado'!C264</f>
        <v>0</v>
      </c>
      <c r="B293" s="2">
        <f>+'2H filtrado'!D264</f>
        <v>0</v>
      </c>
      <c r="C293" s="5">
        <f>+'2H filtrado'!N264</f>
        <v>0</v>
      </c>
      <c r="D293" s="5">
        <f t="shared" si="6"/>
        <v>-206.99945682995201</v>
      </c>
    </row>
    <row r="294" spans="1:4">
      <c r="A294" s="2">
        <f>+'2H filtrado'!C265</f>
        <v>0</v>
      </c>
      <c r="B294" s="2">
        <f>+'2H filtrado'!D265</f>
        <v>0</v>
      </c>
      <c r="C294" s="5">
        <f>+'2H filtrado'!N265</f>
        <v>0</v>
      </c>
      <c r="D294" s="5">
        <f t="shared" si="6"/>
        <v>-206.99945682995201</v>
      </c>
    </row>
    <row r="295" spans="1:4">
      <c r="A295" s="2">
        <f>+'2H filtrado'!C266</f>
        <v>0</v>
      </c>
      <c r="B295" s="2">
        <f>+'2H filtrado'!D266</f>
        <v>0</v>
      </c>
      <c r="C295" s="5">
        <f>+'2H filtrado'!N266</f>
        <v>0</v>
      </c>
      <c r="D295" s="5">
        <f t="shared" si="6"/>
        <v>-206.99945682995201</v>
      </c>
    </row>
    <row r="296" spans="1:4">
      <c r="A296" s="2">
        <f>+'2H filtrado'!C267</f>
        <v>0</v>
      </c>
      <c r="B296" s="2">
        <f>+'2H filtrado'!D267</f>
        <v>0</v>
      </c>
      <c r="C296" s="5">
        <f>+'2H filtrado'!N267</f>
        <v>0</v>
      </c>
      <c r="D296" s="5">
        <f t="shared" si="6"/>
        <v>-206.99945682995201</v>
      </c>
    </row>
    <row r="297" spans="1:4">
      <c r="A297" s="2">
        <f>+'2H filtrado'!C268</f>
        <v>0</v>
      </c>
      <c r="B297" s="2">
        <f>+'2H filtrado'!D268</f>
        <v>0</v>
      </c>
      <c r="C297" s="5">
        <f>+'2H filtrado'!N268</f>
        <v>0</v>
      </c>
      <c r="D297" s="5">
        <f t="shared" si="6"/>
        <v>-206.99945682995201</v>
      </c>
    </row>
    <row r="298" spans="1:4">
      <c r="A298" s="2">
        <f>+'2H filtrado'!C269</f>
        <v>0</v>
      </c>
      <c r="B298" s="2">
        <f>+'2H filtrado'!D269</f>
        <v>0</v>
      </c>
      <c r="C298" s="5">
        <f>+'2H filtrado'!N269</f>
        <v>0</v>
      </c>
      <c r="D298" s="5">
        <f t="shared" si="6"/>
        <v>-206.99945682995201</v>
      </c>
    </row>
    <row r="299" spans="1:4">
      <c r="A299" s="2">
        <f>+'2H filtrado'!C270</f>
        <v>0</v>
      </c>
      <c r="B299" s="2">
        <f>+'2H filtrado'!D270</f>
        <v>0</v>
      </c>
      <c r="C299" s="5">
        <f>+'2H filtrado'!N270</f>
        <v>0</v>
      </c>
      <c r="D299" s="5">
        <f t="shared" si="6"/>
        <v>-206.99945682995201</v>
      </c>
    </row>
    <row r="300" spans="1:4">
      <c r="A300" s="2">
        <f>+'2H filtrado'!C271</f>
        <v>0</v>
      </c>
      <c r="B300" s="2">
        <f>+'2H filtrado'!D271</f>
        <v>0</v>
      </c>
      <c r="C300" s="5">
        <f>+'2H filtrado'!N271</f>
        <v>0</v>
      </c>
      <c r="D300" s="5">
        <f t="shared" si="6"/>
        <v>-206.99945682995201</v>
      </c>
    </row>
    <row r="301" spans="1:4">
      <c r="A301" s="2">
        <f>+'2H filtrado'!C272</f>
        <v>0</v>
      </c>
      <c r="B301" s="2">
        <f>+'2H filtrado'!D272</f>
        <v>0</v>
      </c>
      <c r="C301" s="5">
        <f>+'2H filtrado'!N272</f>
        <v>0</v>
      </c>
      <c r="D301" s="5">
        <f t="shared" si="6"/>
        <v>-206.99945682995201</v>
      </c>
    </row>
    <row r="302" spans="1:4">
      <c r="A302" s="2">
        <f>+'2H filtrado'!C273</f>
        <v>0</v>
      </c>
      <c r="B302" s="2">
        <f>+'2H filtrado'!D273</f>
        <v>0</v>
      </c>
      <c r="C302" s="5">
        <f>+'2H filtrado'!N273</f>
        <v>0</v>
      </c>
      <c r="D302" s="5">
        <f t="shared" si="6"/>
        <v>-206.99945682995201</v>
      </c>
    </row>
    <row r="303" spans="1:4">
      <c r="A303" s="2">
        <f>+'2H filtrado'!C274</f>
        <v>0</v>
      </c>
      <c r="B303" s="2">
        <f>+'2H filtrado'!D274</f>
        <v>0</v>
      </c>
      <c r="C303" s="5">
        <f>+'2H filtrado'!N274</f>
        <v>0</v>
      </c>
      <c r="D303" s="5">
        <f t="shared" si="6"/>
        <v>-206.99945682995201</v>
      </c>
    </row>
    <row r="304" spans="1:4">
      <c r="A304" s="2">
        <f>+'2H filtrado'!C275</f>
        <v>0</v>
      </c>
      <c r="B304" s="2">
        <f>+'2H filtrado'!D275</f>
        <v>0</v>
      </c>
      <c r="C304" s="5">
        <f>+'2H filtrado'!N275</f>
        <v>0</v>
      </c>
      <c r="D304" s="5">
        <f t="shared" si="6"/>
        <v>-206.99945682995201</v>
      </c>
    </row>
    <row r="305" spans="1:4">
      <c r="A305" s="2">
        <f>+'2H filtrado'!C276</f>
        <v>0</v>
      </c>
      <c r="B305" s="2">
        <f>+'2H filtrado'!D276</f>
        <v>0</v>
      </c>
      <c r="C305" s="5">
        <f>+'2H filtrado'!N276</f>
        <v>0</v>
      </c>
      <c r="D305" s="5">
        <f t="shared" si="6"/>
        <v>-206.99945682995201</v>
      </c>
    </row>
    <row r="306" spans="1:4">
      <c r="A306" s="2">
        <f>+'2H filtrado'!C277</f>
        <v>0</v>
      </c>
      <c r="B306" s="2">
        <f>+'2H filtrado'!D277</f>
        <v>0</v>
      </c>
      <c r="C306" s="5">
        <f>+'2H filtrado'!N277</f>
        <v>0</v>
      </c>
      <c r="D306" s="5">
        <f t="shared" si="6"/>
        <v>-206.99945682995201</v>
      </c>
    </row>
    <row r="307" spans="1:4">
      <c r="A307" s="2">
        <f>+'2H filtrado'!C278</f>
        <v>0</v>
      </c>
      <c r="B307" s="2">
        <f>+'2H filtrado'!D278</f>
        <v>0</v>
      </c>
      <c r="C307" s="5">
        <f>+'2H filtrado'!N278</f>
        <v>0</v>
      </c>
      <c r="D307" s="5">
        <f t="shared" si="6"/>
        <v>-206.99945682995201</v>
      </c>
    </row>
    <row r="308" spans="1:4">
      <c r="A308" s="2">
        <f>+'2H filtrado'!C279</f>
        <v>0</v>
      </c>
      <c r="B308" s="2">
        <f>+'2H filtrado'!D279</f>
        <v>0</v>
      </c>
      <c r="C308" s="5">
        <f>+'2H filtrado'!N279</f>
        <v>0</v>
      </c>
      <c r="D308" s="5">
        <f t="shared" si="6"/>
        <v>-206.99945682995201</v>
      </c>
    </row>
    <row r="309" spans="1:4">
      <c r="A309" s="2">
        <f>+'2H filtrado'!C280</f>
        <v>0</v>
      </c>
      <c r="B309" s="2">
        <f>+'2H filtrado'!D280</f>
        <v>0</v>
      </c>
      <c r="C309" s="5">
        <f>+'2H filtrado'!N280</f>
        <v>0</v>
      </c>
      <c r="D309" s="5">
        <f t="shared" si="6"/>
        <v>-206.99945682995201</v>
      </c>
    </row>
    <row r="310" spans="1:4">
      <c r="A310" s="2">
        <f>+'2H filtrado'!C281</f>
        <v>0</v>
      </c>
      <c r="B310" s="2">
        <f>+'2H filtrado'!D281</f>
        <v>0</v>
      </c>
      <c r="C310" s="5">
        <f>+'2H filtrado'!N281</f>
        <v>0</v>
      </c>
      <c r="D310" s="5">
        <f t="shared" si="6"/>
        <v>-206.99945682995201</v>
      </c>
    </row>
    <row r="311" spans="1:4">
      <c r="A311" s="2">
        <f>+'2H filtrado'!C282</f>
        <v>0</v>
      </c>
      <c r="B311" s="2">
        <f>+'2H filtrado'!D282</f>
        <v>0</v>
      </c>
      <c r="C311" s="5">
        <f>+'2H filtrado'!N282</f>
        <v>0</v>
      </c>
      <c r="D311" s="5">
        <f t="shared" si="6"/>
        <v>-206.99945682995201</v>
      </c>
    </row>
    <row r="312" spans="1:4">
      <c r="A312" s="2">
        <f>+'2H filtrado'!C283</f>
        <v>0</v>
      </c>
      <c r="B312" s="2">
        <f>+'2H filtrado'!D283</f>
        <v>0</v>
      </c>
      <c r="C312" s="5">
        <f>+'2H filtrado'!N283</f>
        <v>0</v>
      </c>
      <c r="D312" s="5">
        <f t="shared" si="6"/>
        <v>-206.99945682995201</v>
      </c>
    </row>
    <row r="313" spans="1:4">
      <c r="A313" s="2">
        <f>+'2H filtrado'!C284</f>
        <v>0</v>
      </c>
      <c r="B313" s="2">
        <f>+'2H filtrado'!D284</f>
        <v>0</v>
      </c>
      <c r="C313" s="5">
        <f>+'2H filtrado'!N284</f>
        <v>0</v>
      </c>
      <c r="D313" s="5">
        <f t="shared" si="6"/>
        <v>-206.99945682995201</v>
      </c>
    </row>
    <row r="314" spans="1:4">
      <c r="A314" s="2">
        <f>+'2H filtrado'!C285</f>
        <v>0</v>
      </c>
      <c r="B314" s="2">
        <f>+'2H filtrado'!D285</f>
        <v>0</v>
      </c>
      <c r="C314" s="5">
        <f>+'2H filtrado'!N285</f>
        <v>0</v>
      </c>
      <c r="D314" s="5">
        <f t="shared" si="6"/>
        <v>-206.99945682995201</v>
      </c>
    </row>
    <row r="315" spans="1:4">
      <c r="A315" s="2">
        <f>+'2H filtrado'!C286</f>
        <v>0</v>
      </c>
      <c r="B315" s="2">
        <f>+'2H filtrado'!D286</f>
        <v>0</v>
      </c>
      <c r="C315" s="5">
        <f>+'2H filtrado'!N286</f>
        <v>0</v>
      </c>
      <c r="D315" s="5">
        <f t="shared" si="6"/>
        <v>-206.99945682995201</v>
      </c>
    </row>
    <row r="316" spans="1:4">
      <c r="A316" s="2">
        <f>+'2H filtrado'!C287</f>
        <v>0</v>
      </c>
      <c r="B316" s="2">
        <f>+'2H filtrado'!D287</f>
        <v>0</v>
      </c>
      <c r="C316" s="5">
        <f>+'2H filtrado'!N287</f>
        <v>0</v>
      </c>
      <c r="D316" s="5">
        <f t="shared" si="6"/>
        <v>-206.99945682995201</v>
      </c>
    </row>
    <row r="317" spans="1:4">
      <c r="A317" s="2">
        <f>+'2H filtrado'!C288</f>
        <v>0</v>
      </c>
      <c r="B317" s="2">
        <f>+'2H filtrado'!D288</f>
        <v>0</v>
      </c>
      <c r="C317" s="5">
        <f>+'2H filtrado'!N288</f>
        <v>0</v>
      </c>
      <c r="D317" s="5">
        <f t="shared" si="6"/>
        <v>-206.99945682995201</v>
      </c>
    </row>
    <row r="318" spans="1:4">
      <c r="A318" s="2">
        <f>+'2H filtrado'!C289</f>
        <v>0</v>
      </c>
      <c r="B318" s="2">
        <f>+'2H filtrado'!D289</f>
        <v>0</v>
      </c>
      <c r="C318" s="5">
        <f>+'2H filtrado'!N289</f>
        <v>0</v>
      </c>
      <c r="D318" s="5">
        <f t="shared" si="6"/>
        <v>-206.99945682995201</v>
      </c>
    </row>
    <row r="319" spans="1:4">
      <c r="A319" s="2">
        <f>+'2H filtrado'!C290</f>
        <v>0</v>
      </c>
      <c r="B319" s="2">
        <f>+'2H filtrado'!D290</f>
        <v>0</v>
      </c>
      <c r="C319" s="5">
        <f>+'2H filtrado'!N290</f>
        <v>0</v>
      </c>
      <c r="D319" s="5">
        <f t="shared" si="6"/>
        <v>-206.99945682995201</v>
      </c>
    </row>
    <row r="320" spans="1:4">
      <c r="A320" s="2">
        <f>+'2H filtrado'!C291</f>
        <v>0</v>
      </c>
      <c r="B320" s="2">
        <f>+'2H filtrado'!D291</f>
        <v>0</v>
      </c>
      <c r="C320" s="5">
        <f>+'2H filtrado'!N291</f>
        <v>0</v>
      </c>
      <c r="D320" s="5">
        <f t="shared" si="6"/>
        <v>-206.99945682995201</v>
      </c>
    </row>
    <row r="321" spans="1:4">
      <c r="A321" s="2">
        <f>+'2H filtrado'!C292</f>
        <v>0</v>
      </c>
      <c r="B321" s="2">
        <f>+'2H filtrado'!D292</f>
        <v>0</v>
      </c>
      <c r="C321" s="5">
        <f>+'2H filtrado'!N292</f>
        <v>0</v>
      </c>
      <c r="D321" s="5">
        <f t="shared" si="6"/>
        <v>-206.99945682995201</v>
      </c>
    </row>
    <row r="322" spans="1:4">
      <c r="A322" s="2">
        <f>+'2H filtrado'!C293</f>
        <v>0</v>
      </c>
      <c r="B322" s="2">
        <f>+'2H filtrado'!D293</f>
        <v>0</v>
      </c>
      <c r="C322" s="5">
        <f>+'2H filtrado'!N293</f>
        <v>0</v>
      </c>
      <c r="D322" s="5">
        <f t="shared" si="6"/>
        <v>-206.99945682995201</v>
      </c>
    </row>
    <row r="323" spans="1:4">
      <c r="A323" s="2">
        <f>+'2H filtrado'!C294</f>
        <v>0</v>
      </c>
      <c r="B323" s="2">
        <f>+'2H filtrado'!D294</f>
        <v>0</v>
      </c>
      <c r="C323" s="5">
        <f>+'2H filtrado'!N294</f>
        <v>0</v>
      </c>
      <c r="D323" s="5">
        <f t="shared" si="6"/>
        <v>-206.99945682995201</v>
      </c>
    </row>
    <row r="324" spans="1:4">
      <c r="A324" s="2">
        <f>+'2H filtrado'!C295</f>
        <v>0</v>
      </c>
      <c r="B324" s="2">
        <f>+'2H filtrado'!D295</f>
        <v>0</v>
      </c>
      <c r="C324" s="5">
        <f>+'2H filtrado'!N295</f>
        <v>0</v>
      </c>
      <c r="D324" s="5">
        <f t="shared" si="6"/>
        <v>-206.99945682995201</v>
      </c>
    </row>
    <row r="325" spans="1:4">
      <c r="A325" s="2">
        <f>+'2H filtrado'!C296</f>
        <v>0</v>
      </c>
      <c r="B325" s="2">
        <f>+'2H filtrado'!D296</f>
        <v>0</v>
      </c>
      <c r="C325" s="5">
        <f>+'2H filtrado'!N296</f>
        <v>0</v>
      </c>
      <c r="D325" s="5">
        <f t="shared" si="6"/>
        <v>-206.99945682995201</v>
      </c>
    </row>
    <row r="326" spans="1:4">
      <c r="A326" s="2">
        <f>+'2H filtrado'!C297</f>
        <v>0</v>
      </c>
      <c r="B326" s="2">
        <f>+'2H filtrado'!D297</f>
        <v>0</v>
      </c>
      <c r="C326" s="5">
        <f>+'2H filtrado'!N297</f>
        <v>0</v>
      </c>
      <c r="D326" s="5">
        <f t="shared" si="6"/>
        <v>-206.99945682995201</v>
      </c>
    </row>
    <row r="327" spans="1:4">
      <c r="A327" s="2">
        <f>+'2H filtrado'!C298</f>
        <v>0</v>
      </c>
      <c r="B327" s="2">
        <f>+'2H filtrado'!D298</f>
        <v>0</v>
      </c>
      <c r="C327" s="5">
        <f>+'2H filtrado'!N298</f>
        <v>0</v>
      </c>
      <c r="D327" s="5">
        <f t="shared" si="6"/>
        <v>-206.99945682995201</v>
      </c>
    </row>
    <row r="328" spans="1:4">
      <c r="A328" s="2">
        <f>+'2H filtrado'!C299</f>
        <v>0</v>
      </c>
      <c r="B328" s="2">
        <f>+'2H filtrado'!D299</f>
        <v>0</v>
      </c>
      <c r="C328" s="5">
        <f>+'2H filtrado'!N299</f>
        <v>0</v>
      </c>
      <c r="D328" s="5">
        <f t="shared" si="6"/>
        <v>-206.99945682995201</v>
      </c>
    </row>
    <row r="329" spans="1:4">
      <c r="A329" s="2">
        <f>+'2H filtrado'!C300</f>
        <v>0</v>
      </c>
      <c r="B329" s="2">
        <f>+'2H filtrado'!D300</f>
        <v>0</v>
      </c>
      <c r="C329" s="5">
        <f>+'2H filtrado'!N300</f>
        <v>0</v>
      </c>
      <c r="D329" s="5">
        <f t="shared" si="6"/>
        <v>-206.99945682995201</v>
      </c>
    </row>
    <row r="330" spans="1:4">
      <c r="A330" s="2">
        <f>+'2H filtrado'!C301</f>
        <v>0</v>
      </c>
      <c r="B330" s="2">
        <f>+'2H filtrado'!D301</f>
        <v>0</v>
      </c>
      <c r="C330" s="5">
        <f>+'2H filtrado'!N301</f>
        <v>0</v>
      </c>
      <c r="D330" s="5">
        <f t="shared" si="6"/>
        <v>-206.99945682995201</v>
      </c>
    </row>
    <row r="331" spans="1:4">
      <c r="A331" s="2">
        <f>+'2H filtrado'!C302</f>
        <v>0</v>
      </c>
      <c r="B331" s="2">
        <f>+'2H filtrado'!D302</f>
        <v>0</v>
      </c>
      <c r="C331" s="5">
        <f>+'2H filtrado'!N302</f>
        <v>0</v>
      </c>
      <c r="D331" s="5">
        <f t="shared" si="6"/>
        <v>-206.99945682995201</v>
      </c>
    </row>
    <row r="332" spans="1:4">
      <c r="A332" s="2">
        <f>+'2H filtrado'!C303</f>
        <v>0</v>
      </c>
      <c r="B332" s="2">
        <f>+'2H filtrado'!D303</f>
        <v>0</v>
      </c>
      <c r="C332" s="5">
        <f>+'2H filtrado'!N303</f>
        <v>0</v>
      </c>
      <c r="D332" s="5">
        <f t="shared" si="6"/>
        <v>-206.99945682995201</v>
      </c>
    </row>
    <row r="333" spans="1:4">
      <c r="A333" s="2">
        <f>+'2H filtrado'!C304</f>
        <v>0</v>
      </c>
      <c r="B333" s="2">
        <f>+'2H filtrado'!D304</f>
        <v>0</v>
      </c>
      <c r="C333" s="5">
        <f>+'2H filtrado'!N304</f>
        <v>0</v>
      </c>
      <c r="D333" s="5">
        <f t="shared" si="6"/>
        <v>-206.99945682995201</v>
      </c>
    </row>
    <row r="334" spans="1:4">
      <c r="A334" s="2">
        <f>+'2H filtrado'!C305</f>
        <v>0</v>
      </c>
      <c r="B334" s="2">
        <f>+'2H filtrado'!D305</f>
        <v>0</v>
      </c>
      <c r="C334" s="5">
        <f>+'2H filtrado'!N305</f>
        <v>0</v>
      </c>
      <c r="D334" s="5">
        <f t="shared" si="6"/>
        <v>-206.99945682995201</v>
      </c>
    </row>
    <row r="335" spans="1:4">
      <c r="A335" s="2">
        <f>+'2H filtrado'!C306</f>
        <v>0</v>
      </c>
      <c r="B335" s="2">
        <f>+'2H filtrado'!D306</f>
        <v>0</v>
      </c>
      <c r="C335" s="5">
        <f>+'2H filtrado'!N306</f>
        <v>0</v>
      </c>
      <c r="D335" s="5">
        <f t="shared" si="6"/>
        <v>-206.99945682995201</v>
      </c>
    </row>
    <row r="336" spans="1:4">
      <c r="A336" s="2">
        <f>+'2H filtrado'!C307</f>
        <v>0</v>
      </c>
      <c r="B336" s="2">
        <f>+'2H filtrado'!D307</f>
        <v>0</v>
      </c>
      <c r="C336" s="5">
        <f>+'2H filtrado'!N307</f>
        <v>0</v>
      </c>
      <c r="D336" s="5">
        <f t="shared" si="6"/>
        <v>-206.99945682995201</v>
      </c>
    </row>
    <row r="337" spans="1:4">
      <c r="A337" s="2">
        <f>+'2H filtrado'!C308</f>
        <v>0</v>
      </c>
      <c r="B337" s="2">
        <f>+'2H filtrado'!D308</f>
        <v>0</v>
      </c>
      <c r="C337" s="5">
        <f>+'2H filtrado'!N308</f>
        <v>0</v>
      </c>
      <c r="D337" s="5">
        <f t="shared" si="6"/>
        <v>-206.99945682995201</v>
      </c>
    </row>
    <row r="338" spans="1:4">
      <c r="A338" s="2">
        <f>+'2H filtrado'!C309</f>
        <v>0</v>
      </c>
      <c r="B338" s="2">
        <f>+'2H filtrado'!D309</f>
        <v>0</v>
      </c>
      <c r="C338" s="5">
        <f>+'2H filtrado'!N309</f>
        <v>0</v>
      </c>
      <c r="D338" s="5">
        <f t="shared" si="6"/>
        <v>-206.99945682995201</v>
      </c>
    </row>
    <row r="339" spans="1:4">
      <c r="A339" s="2">
        <f>+'2H filtrado'!C310</f>
        <v>0</v>
      </c>
      <c r="B339" s="2">
        <f>+'2H filtrado'!D310</f>
        <v>0</v>
      </c>
      <c r="C339" s="5">
        <f>+'2H filtrado'!N310</f>
        <v>0</v>
      </c>
      <c r="D339" s="5">
        <f t="shared" si="6"/>
        <v>-206.99945682995201</v>
      </c>
    </row>
    <row r="340" spans="1:4">
      <c r="A340" s="2">
        <f>+'2H filtrado'!C311</f>
        <v>0</v>
      </c>
      <c r="B340" s="2">
        <f>+'2H filtrado'!D311</f>
        <v>0</v>
      </c>
      <c r="C340" s="5">
        <f>+'2H filtrado'!N311</f>
        <v>0</v>
      </c>
      <c r="D340" s="5">
        <f t="shared" si="6"/>
        <v>-206.99945682995201</v>
      </c>
    </row>
    <row r="341" spans="1:4">
      <c r="A341" s="2">
        <f>+'2H filtrado'!C312</f>
        <v>0</v>
      </c>
      <c r="B341" s="2">
        <f>+'2H filtrado'!D312</f>
        <v>0</v>
      </c>
      <c r="C341" s="5">
        <f>+'2H filtrado'!N312</f>
        <v>0</v>
      </c>
      <c r="D341" s="5">
        <f t="shared" si="6"/>
        <v>-206.99945682995201</v>
      </c>
    </row>
    <row r="342" spans="1:4">
      <c r="A342" s="2">
        <f>+'2H filtrado'!C313</f>
        <v>0</v>
      </c>
      <c r="B342" s="2">
        <f>+'2H filtrado'!D313</f>
        <v>0</v>
      </c>
      <c r="C342" s="5">
        <f>+'2H filtrado'!N313</f>
        <v>0</v>
      </c>
      <c r="D342" s="5">
        <f t="shared" si="6"/>
        <v>-206.99945682995201</v>
      </c>
    </row>
    <row r="343" spans="1:4">
      <c r="A343" s="2">
        <f>+'2H filtrado'!C314</f>
        <v>0</v>
      </c>
      <c r="B343" s="2">
        <f>+'2H filtrado'!D314</f>
        <v>0</v>
      </c>
      <c r="C343" s="5">
        <f>+'2H filtrado'!N314</f>
        <v>0</v>
      </c>
      <c r="D343" s="5">
        <f t="shared" si="6"/>
        <v>-206.99945682995201</v>
      </c>
    </row>
    <row r="344" spans="1:4">
      <c r="A344" s="2">
        <f>+'2H filtrado'!C315</f>
        <v>0</v>
      </c>
      <c r="B344" s="2">
        <f>+'2H filtrado'!D315</f>
        <v>0</v>
      </c>
      <c r="C344" s="5">
        <f>+'2H filtrado'!N315</f>
        <v>0</v>
      </c>
      <c r="D344" s="5">
        <f t="shared" si="6"/>
        <v>-206.99945682995201</v>
      </c>
    </row>
    <row r="345" spans="1:4">
      <c r="A345" s="2">
        <f>+'2H filtrado'!C316</f>
        <v>0</v>
      </c>
      <c r="B345" s="2">
        <f>+'2H filtrado'!D316</f>
        <v>0</v>
      </c>
      <c r="C345" s="5">
        <f>+'2H filtrado'!N316</f>
        <v>0</v>
      </c>
      <c r="D345" s="5">
        <f t="shared" si="6"/>
        <v>-206.99945682995201</v>
      </c>
    </row>
    <row r="346" spans="1:4">
      <c r="A346" s="2">
        <f>+'2H filtrado'!C317</f>
        <v>0</v>
      </c>
      <c r="B346" s="2">
        <f>+'2H filtrado'!D317</f>
        <v>0</v>
      </c>
      <c r="C346" s="5">
        <f>+'2H filtrado'!N317</f>
        <v>0</v>
      </c>
      <c r="D346" s="5">
        <f t="shared" si="6"/>
        <v>-206.99945682995201</v>
      </c>
    </row>
    <row r="347" spans="1:4">
      <c r="A347" s="2">
        <f>+'2H filtrado'!C318</f>
        <v>0</v>
      </c>
      <c r="B347" s="2">
        <f>+'2H filtrado'!D318</f>
        <v>0</v>
      </c>
      <c r="C347" s="5">
        <f>+'2H filtrado'!N318</f>
        <v>0</v>
      </c>
      <c r="D347" s="5">
        <f t="shared" si="6"/>
        <v>-206.99945682995201</v>
      </c>
    </row>
    <row r="348" spans="1:4">
      <c r="A348" s="2">
        <f>+'2H filtrado'!C319</f>
        <v>0</v>
      </c>
      <c r="B348" s="2">
        <f>+'2H filtrado'!D319</f>
        <v>0</v>
      </c>
      <c r="C348" s="5">
        <f>+'2H filtrado'!N319</f>
        <v>0</v>
      </c>
      <c r="D348" s="5">
        <f t="shared" si="6"/>
        <v>-206.99945682995201</v>
      </c>
    </row>
    <row r="349" spans="1:4">
      <c r="A349" s="2">
        <f>+'2H filtrado'!C320</f>
        <v>0</v>
      </c>
      <c r="B349" s="2">
        <f>+'2H filtrado'!D320</f>
        <v>0</v>
      </c>
      <c r="C349" s="5">
        <f>+'2H filtrado'!N320</f>
        <v>0</v>
      </c>
      <c r="D349" s="5">
        <f t="shared" si="6"/>
        <v>-206.99945682995201</v>
      </c>
    </row>
    <row r="350" spans="1:4">
      <c r="A350" s="2">
        <f>+'2H filtrado'!C321</f>
        <v>0</v>
      </c>
      <c r="B350" s="2">
        <f>+'2H filtrado'!D321</f>
        <v>0</v>
      </c>
      <c r="C350" s="5">
        <f>+'2H filtrado'!N321</f>
        <v>0</v>
      </c>
      <c r="D350" s="5">
        <f t="shared" si="6"/>
        <v>-206.99945682995201</v>
      </c>
    </row>
    <row r="351" spans="1:4">
      <c r="A351" s="2">
        <f>+'2H filtrado'!C322</f>
        <v>0</v>
      </c>
      <c r="B351" s="2">
        <f>+'2H filtrado'!D322</f>
        <v>0</v>
      </c>
      <c r="C351" s="5">
        <f>+'2H filtrado'!N322</f>
        <v>0</v>
      </c>
      <c r="D351" s="5">
        <f t="shared" si="6"/>
        <v>-206.99945682995201</v>
      </c>
    </row>
    <row r="352" spans="1:4">
      <c r="A352" s="2">
        <f>+'2H filtrado'!C323</f>
        <v>0</v>
      </c>
      <c r="B352" s="2">
        <f>+'2H filtrado'!D323</f>
        <v>0</v>
      </c>
      <c r="C352" s="5">
        <f>+'2H filtrado'!N323</f>
        <v>0</v>
      </c>
      <c r="D352" s="5">
        <f t="shared" ref="D352:D415" si="7">+(C352-$N$22)/$N$21</f>
        <v>-206.99945682995201</v>
      </c>
    </row>
    <row r="353" spans="1:4">
      <c r="A353" s="2">
        <f>+'2H filtrado'!C324</f>
        <v>0</v>
      </c>
      <c r="B353" s="2">
        <f>+'2H filtrado'!D324</f>
        <v>0</v>
      </c>
      <c r="C353" s="5">
        <f>+'2H filtrado'!N324</f>
        <v>0</v>
      </c>
      <c r="D353" s="5">
        <f t="shared" si="7"/>
        <v>-206.99945682995201</v>
      </c>
    </row>
    <row r="354" spans="1:4">
      <c r="A354" s="2">
        <f>+'2H filtrado'!C325</f>
        <v>0</v>
      </c>
      <c r="B354" s="2">
        <f>+'2H filtrado'!D325</f>
        <v>0</v>
      </c>
      <c r="C354" s="5">
        <f>+'2H filtrado'!N325</f>
        <v>0</v>
      </c>
      <c r="D354" s="5">
        <f t="shared" si="7"/>
        <v>-206.99945682995201</v>
      </c>
    </row>
    <row r="355" spans="1:4">
      <c r="A355" s="2">
        <f>+'2H filtrado'!C326</f>
        <v>0</v>
      </c>
      <c r="B355" s="2">
        <f>+'2H filtrado'!D326</f>
        <v>0</v>
      </c>
      <c r="C355" s="5">
        <f>+'2H filtrado'!N326</f>
        <v>0</v>
      </c>
      <c r="D355" s="5">
        <f t="shared" si="7"/>
        <v>-206.99945682995201</v>
      </c>
    </row>
    <row r="356" spans="1:4">
      <c r="A356" s="2">
        <f>+'2H filtrado'!C327</f>
        <v>0</v>
      </c>
      <c r="B356" s="2">
        <f>+'2H filtrado'!D327</f>
        <v>0</v>
      </c>
      <c r="C356" s="5">
        <f>+'2H filtrado'!N327</f>
        <v>0</v>
      </c>
      <c r="D356" s="5">
        <f t="shared" si="7"/>
        <v>-206.99945682995201</v>
      </c>
    </row>
    <row r="357" spans="1:4">
      <c r="A357" s="2">
        <f>+'2H filtrado'!C328</f>
        <v>0</v>
      </c>
      <c r="B357" s="2">
        <f>+'2H filtrado'!D328</f>
        <v>0</v>
      </c>
      <c r="C357" s="5">
        <f>+'2H filtrado'!N328</f>
        <v>0</v>
      </c>
      <c r="D357" s="5">
        <f t="shared" si="7"/>
        <v>-206.99945682995201</v>
      </c>
    </row>
    <row r="358" spans="1:4">
      <c r="A358" s="2">
        <f>+'2H filtrado'!C329</f>
        <v>0</v>
      </c>
      <c r="B358" s="2">
        <f>+'2H filtrado'!D329</f>
        <v>0</v>
      </c>
      <c r="C358" s="5">
        <f>+'2H filtrado'!N329</f>
        <v>0</v>
      </c>
      <c r="D358" s="5">
        <f t="shared" si="7"/>
        <v>-206.99945682995201</v>
      </c>
    </row>
    <row r="359" spans="1:4">
      <c r="A359" s="2">
        <f>+'2H filtrado'!C330</f>
        <v>0</v>
      </c>
      <c r="B359" s="2">
        <f>+'2H filtrado'!D330</f>
        <v>0</v>
      </c>
      <c r="C359" s="5">
        <f>+'2H filtrado'!N330</f>
        <v>0</v>
      </c>
      <c r="D359" s="5">
        <f t="shared" si="7"/>
        <v>-206.99945682995201</v>
      </c>
    </row>
    <row r="360" spans="1:4">
      <c r="A360" s="2">
        <f>+'2H filtrado'!C331</f>
        <v>0</v>
      </c>
      <c r="B360" s="2">
        <f>+'2H filtrado'!D331</f>
        <v>0</v>
      </c>
      <c r="C360" s="5">
        <f>+'2H filtrado'!N331</f>
        <v>0</v>
      </c>
      <c r="D360" s="5">
        <f t="shared" si="7"/>
        <v>-206.99945682995201</v>
      </c>
    </row>
    <row r="361" spans="1:4">
      <c r="A361" s="2">
        <f>+'2H filtrado'!C332</f>
        <v>0</v>
      </c>
      <c r="B361" s="2">
        <f>+'2H filtrado'!D332</f>
        <v>0</v>
      </c>
      <c r="C361" s="5">
        <f>+'2H filtrado'!N332</f>
        <v>0</v>
      </c>
      <c r="D361" s="5">
        <f t="shared" si="7"/>
        <v>-206.99945682995201</v>
      </c>
    </row>
    <row r="362" spans="1:4">
      <c r="A362" s="2">
        <f>+'2H filtrado'!C333</f>
        <v>0</v>
      </c>
      <c r="B362" s="2">
        <f>+'2H filtrado'!D333</f>
        <v>0</v>
      </c>
      <c r="C362" s="5">
        <f>+'2H filtrado'!N333</f>
        <v>0</v>
      </c>
      <c r="D362" s="5">
        <f t="shared" si="7"/>
        <v>-206.99945682995201</v>
      </c>
    </row>
    <row r="363" spans="1:4">
      <c r="A363" s="2">
        <f>+'2H filtrado'!C334</f>
        <v>0</v>
      </c>
      <c r="B363" s="2">
        <f>+'2H filtrado'!D334</f>
        <v>0</v>
      </c>
      <c r="C363" s="5">
        <f>+'2H filtrado'!N334</f>
        <v>0</v>
      </c>
      <c r="D363" s="5">
        <f t="shared" si="7"/>
        <v>-206.99945682995201</v>
      </c>
    </row>
    <row r="364" spans="1:4">
      <c r="A364" s="2">
        <f>+'2H filtrado'!C335</f>
        <v>0</v>
      </c>
      <c r="B364" s="2">
        <f>+'2H filtrado'!D335</f>
        <v>0</v>
      </c>
      <c r="C364" s="5">
        <f>+'2H filtrado'!N335</f>
        <v>0</v>
      </c>
      <c r="D364" s="5">
        <f t="shared" si="7"/>
        <v>-206.99945682995201</v>
      </c>
    </row>
    <row r="365" spans="1:4">
      <c r="A365" s="2">
        <f>+'2H filtrado'!C336</f>
        <v>0</v>
      </c>
      <c r="B365" s="2">
        <f>+'2H filtrado'!D336</f>
        <v>0</v>
      </c>
      <c r="C365" s="5">
        <f>+'2H filtrado'!N336</f>
        <v>0</v>
      </c>
      <c r="D365" s="5">
        <f t="shared" si="7"/>
        <v>-206.99945682995201</v>
      </c>
    </row>
    <row r="366" spans="1:4">
      <c r="A366" s="2">
        <f>+'2H filtrado'!C337</f>
        <v>0</v>
      </c>
      <c r="B366" s="2">
        <f>+'2H filtrado'!D337</f>
        <v>0</v>
      </c>
      <c r="C366" s="5">
        <f>+'2H filtrado'!N337</f>
        <v>0</v>
      </c>
      <c r="D366" s="5">
        <f t="shared" si="7"/>
        <v>-206.99945682995201</v>
      </c>
    </row>
    <row r="367" spans="1:4">
      <c r="A367" s="2">
        <f>+'2H filtrado'!C338</f>
        <v>0</v>
      </c>
      <c r="B367" s="2">
        <f>+'2H filtrado'!D338</f>
        <v>0</v>
      </c>
      <c r="C367" s="5">
        <f>+'2H filtrado'!N338</f>
        <v>0</v>
      </c>
      <c r="D367" s="5">
        <f t="shared" si="7"/>
        <v>-206.99945682995201</v>
      </c>
    </row>
    <row r="368" spans="1:4">
      <c r="A368" s="2">
        <f>+'2H filtrado'!C339</f>
        <v>0</v>
      </c>
      <c r="B368" s="2">
        <f>+'2H filtrado'!D339</f>
        <v>0</v>
      </c>
      <c r="C368" s="5">
        <f>+'2H filtrado'!N339</f>
        <v>0</v>
      </c>
      <c r="D368" s="5">
        <f t="shared" si="7"/>
        <v>-206.99945682995201</v>
      </c>
    </row>
    <row r="369" spans="1:4">
      <c r="A369" s="2">
        <f>+'2H filtrado'!C340</f>
        <v>0</v>
      </c>
      <c r="B369" s="2">
        <f>+'2H filtrado'!D340</f>
        <v>0</v>
      </c>
      <c r="C369" s="5">
        <f>+'2H filtrado'!N340</f>
        <v>0</v>
      </c>
      <c r="D369" s="5">
        <f t="shared" si="7"/>
        <v>-206.99945682995201</v>
      </c>
    </row>
    <row r="370" spans="1:4">
      <c r="A370" s="2">
        <f>+'2H filtrado'!C341</f>
        <v>0</v>
      </c>
      <c r="B370" s="2">
        <f>+'2H filtrado'!D341</f>
        <v>0</v>
      </c>
      <c r="C370" s="5">
        <f>+'2H filtrado'!N341</f>
        <v>0</v>
      </c>
      <c r="D370" s="5">
        <f t="shared" si="7"/>
        <v>-206.99945682995201</v>
      </c>
    </row>
    <row r="371" spans="1:4">
      <c r="A371" s="2">
        <f>+'2H filtrado'!C342</f>
        <v>0</v>
      </c>
      <c r="B371" s="2">
        <f>+'2H filtrado'!D342</f>
        <v>0</v>
      </c>
      <c r="C371" s="5">
        <f>+'2H filtrado'!N342</f>
        <v>0</v>
      </c>
      <c r="D371" s="5">
        <f t="shared" si="7"/>
        <v>-206.99945682995201</v>
      </c>
    </row>
    <row r="372" spans="1:4">
      <c r="A372" s="2">
        <f>+'2H filtrado'!C343</f>
        <v>0</v>
      </c>
      <c r="B372" s="2">
        <f>+'2H filtrado'!D343</f>
        <v>0</v>
      </c>
      <c r="C372" s="5">
        <f>+'2H filtrado'!N343</f>
        <v>0</v>
      </c>
      <c r="D372" s="5">
        <f t="shared" si="7"/>
        <v>-206.99945682995201</v>
      </c>
    </row>
    <row r="373" spans="1:4">
      <c r="A373" s="2">
        <f>+'2H filtrado'!C344</f>
        <v>0</v>
      </c>
      <c r="B373" s="2">
        <f>+'2H filtrado'!D344</f>
        <v>0</v>
      </c>
      <c r="C373" s="5">
        <f>+'2H filtrado'!N344</f>
        <v>0</v>
      </c>
      <c r="D373" s="5">
        <f t="shared" si="7"/>
        <v>-206.99945682995201</v>
      </c>
    </row>
    <row r="374" spans="1:4">
      <c r="A374" s="2">
        <f>+'2H filtrado'!C345</f>
        <v>0</v>
      </c>
      <c r="B374" s="2">
        <f>+'2H filtrado'!D345</f>
        <v>0</v>
      </c>
      <c r="C374" s="5">
        <f>+'2H filtrado'!N345</f>
        <v>0</v>
      </c>
      <c r="D374" s="5">
        <f t="shared" si="7"/>
        <v>-206.99945682995201</v>
      </c>
    </row>
    <row r="375" spans="1:4">
      <c r="A375" s="2">
        <f>+'2H filtrado'!C346</f>
        <v>0</v>
      </c>
      <c r="B375" s="2">
        <f>+'2H filtrado'!D346</f>
        <v>0</v>
      </c>
      <c r="C375" s="5">
        <f>+'2H filtrado'!N346</f>
        <v>0</v>
      </c>
      <c r="D375" s="5">
        <f t="shared" si="7"/>
        <v>-206.99945682995201</v>
      </c>
    </row>
    <row r="376" spans="1:4">
      <c r="A376" s="2">
        <f>+'2H filtrado'!C347</f>
        <v>0</v>
      </c>
      <c r="B376" s="2">
        <f>+'2H filtrado'!D347</f>
        <v>0</v>
      </c>
      <c r="C376" s="5">
        <f>+'2H filtrado'!N347</f>
        <v>0</v>
      </c>
      <c r="D376" s="5">
        <f t="shared" si="7"/>
        <v>-206.99945682995201</v>
      </c>
    </row>
    <row r="377" spans="1:4">
      <c r="A377" s="2">
        <f>+'2H filtrado'!C348</f>
        <v>0</v>
      </c>
      <c r="B377" s="2">
        <f>+'2H filtrado'!D348</f>
        <v>0</v>
      </c>
      <c r="C377" s="5">
        <f>+'2H filtrado'!N348</f>
        <v>0</v>
      </c>
      <c r="D377" s="5">
        <f t="shared" si="7"/>
        <v>-206.99945682995201</v>
      </c>
    </row>
    <row r="378" spans="1:4">
      <c r="A378" s="2">
        <f>+'2H filtrado'!C349</f>
        <v>0</v>
      </c>
      <c r="B378" s="2">
        <f>+'2H filtrado'!D349</f>
        <v>0</v>
      </c>
      <c r="C378" s="5">
        <f>+'2H filtrado'!N349</f>
        <v>0</v>
      </c>
      <c r="D378" s="5">
        <f t="shared" si="7"/>
        <v>-206.99945682995201</v>
      </c>
    </row>
    <row r="379" spans="1:4">
      <c r="A379" s="2">
        <f>+'2H filtrado'!C350</f>
        <v>0</v>
      </c>
      <c r="B379" s="2">
        <f>+'2H filtrado'!D350</f>
        <v>0</v>
      </c>
      <c r="C379" s="5">
        <f>+'2H filtrado'!N350</f>
        <v>0</v>
      </c>
      <c r="D379" s="5">
        <f t="shared" si="7"/>
        <v>-206.99945682995201</v>
      </c>
    </row>
    <row r="380" spans="1:4">
      <c r="A380" s="2">
        <f>+'2H filtrado'!C351</f>
        <v>0</v>
      </c>
      <c r="B380" s="2">
        <f>+'2H filtrado'!D351</f>
        <v>0</v>
      </c>
      <c r="C380" s="5">
        <f>+'2H filtrado'!N351</f>
        <v>0</v>
      </c>
      <c r="D380" s="5">
        <f t="shared" si="7"/>
        <v>-206.99945682995201</v>
      </c>
    </row>
    <row r="381" spans="1:4">
      <c r="A381" s="2">
        <f>+'2H filtrado'!C352</f>
        <v>0</v>
      </c>
      <c r="B381" s="2">
        <f>+'2H filtrado'!D352</f>
        <v>0</v>
      </c>
      <c r="C381" s="5">
        <f>+'2H filtrado'!N352</f>
        <v>0</v>
      </c>
      <c r="D381" s="5">
        <f t="shared" si="7"/>
        <v>-206.99945682995201</v>
      </c>
    </row>
    <row r="382" spans="1:4">
      <c r="A382" s="2">
        <f>+'2H filtrado'!C353</f>
        <v>0</v>
      </c>
      <c r="B382" s="2">
        <f>+'2H filtrado'!D353</f>
        <v>0</v>
      </c>
      <c r="C382" s="5">
        <f>+'2H filtrado'!N353</f>
        <v>0</v>
      </c>
      <c r="D382" s="5">
        <f t="shared" si="7"/>
        <v>-206.99945682995201</v>
      </c>
    </row>
    <row r="383" spans="1:4">
      <c r="A383" s="2">
        <f>+'2H filtrado'!C354</f>
        <v>0</v>
      </c>
      <c r="B383" s="2">
        <f>+'2H filtrado'!D354</f>
        <v>0</v>
      </c>
      <c r="C383" s="5">
        <f>+'2H filtrado'!N354</f>
        <v>0</v>
      </c>
      <c r="D383" s="5">
        <f t="shared" si="7"/>
        <v>-206.99945682995201</v>
      </c>
    </row>
    <row r="384" spans="1:4">
      <c r="A384" s="2">
        <f>+'2H filtrado'!C355</f>
        <v>0</v>
      </c>
      <c r="B384" s="2">
        <f>+'2H filtrado'!D355</f>
        <v>0</v>
      </c>
      <c r="C384" s="5">
        <f>+'2H filtrado'!N355</f>
        <v>0</v>
      </c>
      <c r="D384" s="5">
        <f t="shared" si="7"/>
        <v>-206.99945682995201</v>
      </c>
    </row>
    <row r="385" spans="1:4">
      <c r="A385" s="2">
        <f>+'2H filtrado'!C356</f>
        <v>0</v>
      </c>
      <c r="B385" s="2">
        <f>+'2H filtrado'!D356</f>
        <v>0</v>
      </c>
      <c r="C385" s="5">
        <f>+'2H filtrado'!N356</f>
        <v>0</v>
      </c>
      <c r="D385" s="5">
        <f t="shared" si="7"/>
        <v>-206.99945682995201</v>
      </c>
    </row>
    <row r="386" spans="1:4">
      <c r="A386" s="2">
        <f>+'2H filtrado'!C357</f>
        <v>0</v>
      </c>
      <c r="B386" s="2">
        <f>+'2H filtrado'!D357</f>
        <v>0</v>
      </c>
      <c r="C386" s="5">
        <f>+'2H filtrado'!N357</f>
        <v>0</v>
      </c>
      <c r="D386" s="5">
        <f t="shared" si="7"/>
        <v>-206.99945682995201</v>
      </c>
    </row>
    <row r="387" spans="1:4">
      <c r="A387" s="2">
        <f>+'2H filtrado'!C358</f>
        <v>0</v>
      </c>
      <c r="B387" s="2">
        <f>+'2H filtrado'!D358</f>
        <v>0</v>
      </c>
      <c r="C387" s="5">
        <f>+'2H filtrado'!N358</f>
        <v>0</v>
      </c>
      <c r="D387" s="5">
        <f t="shared" si="7"/>
        <v>-206.99945682995201</v>
      </c>
    </row>
    <row r="388" spans="1:4">
      <c r="A388" s="2">
        <f>+'2H filtrado'!C359</f>
        <v>0</v>
      </c>
      <c r="B388" s="2">
        <f>+'2H filtrado'!D359</f>
        <v>0</v>
      </c>
      <c r="C388" s="5">
        <f>+'2H filtrado'!N359</f>
        <v>0</v>
      </c>
      <c r="D388" s="5">
        <f t="shared" si="7"/>
        <v>-206.99945682995201</v>
      </c>
    </row>
    <row r="389" spans="1:4">
      <c r="A389" s="2">
        <f>+'2H filtrado'!C360</f>
        <v>0</v>
      </c>
      <c r="B389" s="2">
        <f>+'2H filtrado'!D360</f>
        <v>0</v>
      </c>
      <c r="C389" s="5">
        <f>+'2H filtrado'!N360</f>
        <v>0</v>
      </c>
      <c r="D389" s="5">
        <f t="shared" si="7"/>
        <v>-206.99945682995201</v>
      </c>
    </row>
    <row r="390" spans="1:4">
      <c r="A390" s="2">
        <f>+'2H filtrado'!C361</f>
        <v>0</v>
      </c>
      <c r="B390" s="2">
        <f>+'2H filtrado'!D361</f>
        <v>0</v>
      </c>
      <c r="C390" s="5">
        <f>+'2H filtrado'!N361</f>
        <v>0</v>
      </c>
      <c r="D390" s="5">
        <f t="shared" si="7"/>
        <v>-206.99945682995201</v>
      </c>
    </row>
    <row r="391" spans="1:4">
      <c r="A391" s="2">
        <f>+'2H filtrado'!C362</f>
        <v>0</v>
      </c>
      <c r="B391" s="2">
        <f>+'2H filtrado'!D362</f>
        <v>0</v>
      </c>
      <c r="C391" s="5">
        <f>+'2H filtrado'!N362</f>
        <v>0</v>
      </c>
      <c r="D391" s="5">
        <f t="shared" si="7"/>
        <v>-206.99945682995201</v>
      </c>
    </row>
    <row r="392" spans="1:4">
      <c r="A392" s="2">
        <f>+'2H filtrado'!C363</f>
        <v>0</v>
      </c>
      <c r="B392" s="2">
        <f>+'2H filtrado'!D363</f>
        <v>0</v>
      </c>
      <c r="C392" s="5">
        <f>+'2H filtrado'!N363</f>
        <v>0</v>
      </c>
      <c r="D392" s="5">
        <f t="shared" si="7"/>
        <v>-206.99945682995201</v>
      </c>
    </row>
    <row r="393" spans="1:4">
      <c r="A393" s="2">
        <f>+'2H filtrado'!C364</f>
        <v>0</v>
      </c>
      <c r="B393" s="2">
        <f>+'2H filtrado'!D364</f>
        <v>0</v>
      </c>
      <c r="C393" s="5">
        <f>+'2H filtrado'!N364</f>
        <v>0</v>
      </c>
      <c r="D393" s="5">
        <f t="shared" si="7"/>
        <v>-206.99945682995201</v>
      </c>
    </row>
    <row r="394" spans="1:4">
      <c r="A394" s="2">
        <f>+'2H filtrado'!C365</f>
        <v>0</v>
      </c>
      <c r="B394" s="2">
        <f>+'2H filtrado'!D365</f>
        <v>0</v>
      </c>
      <c r="C394" s="5">
        <f>+'2H filtrado'!N365</f>
        <v>0</v>
      </c>
      <c r="D394" s="5">
        <f t="shared" si="7"/>
        <v>-206.99945682995201</v>
      </c>
    </row>
    <row r="395" spans="1:4">
      <c r="A395" s="2">
        <f>+'2H filtrado'!C366</f>
        <v>0</v>
      </c>
      <c r="B395" s="2">
        <f>+'2H filtrado'!D366</f>
        <v>0</v>
      </c>
      <c r="C395" s="5">
        <f>+'2H filtrado'!N366</f>
        <v>0</v>
      </c>
      <c r="D395" s="5">
        <f t="shared" si="7"/>
        <v>-206.99945682995201</v>
      </c>
    </row>
    <row r="396" spans="1:4">
      <c r="A396" s="2">
        <f>+'2H filtrado'!C367</f>
        <v>0</v>
      </c>
      <c r="B396" s="2">
        <f>+'2H filtrado'!D367</f>
        <v>0</v>
      </c>
      <c r="C396" s="5">
        <f>+'2H filtrado'!N367</f>
        <v>0</v>
      </c>
      <c r="D396" s="5">
        <f t="shared" si="7"/>
        <v>-206.99945682995201</v>
      </c>
    </row>
    <row r="397" spans="1:4">
      <c r="A397" s="2">
        <f>+'2H filtrado'!C368</f>
        <v>0</v>
      </c>
      <c r="B397" s="2">
        <f>+'2H filtrado'!D368</f>
        <v>0</v>
      </c>
      <c r="C397" s="5">
        <f>+'2H filtrado'!N368</f>
        <v>0</v>
      </c>
      <c r="D397" s="5">
        <f t="shared" si="7"/>
        <v>-206.99945682995201</v>
      </c>
    </row>
    <row r="398" spans="1:4">
      <c r="A398" s="2">
        <f>+'2H filtrado'!C369</f>
        <v>0</v>
      </c>
      <c r="B398" s="2">
        <f>+'2H filtrado'!D369</f>
        <v>0</v>
      </c>
      <c r="C398" s="5">
        <f>+'2H filtrado'!N369</f>
        <v>0</v>
      </c>
      <c r="D398" s="5">
        <f t="shared" si="7"/>
        <v>-206.99945682995201</v>
      </c>
    </row>
    <row r="399" spans="1:4">
      <c r="A399" s="2">
        <f>+'2H filtrado'!C370</f>
        <v>0</v>
      </c>
      <c r="B399" s="2">
        <f>+'2H filtrado'!D370</f>
        <v>0</v>
      </c>
      <c r="C399" s="5">
        <f>+'2H filtrado'!N370</f>
        <v>0</v>
      </c>
      <c r="D399" s="5">
        <f t="shared" si="7"/>
        <v>-206.99945682995201</v>
      </c>
    </row>
    <row r="400" spans="1:4">
      <c r="A400" s="2">
        <f>+'2H filtrado'!C371</f>
        <v>0</v>
      </c>
      <c r="B400" s="2">
        <f>+'2H filtrado'!D371</f>
        <v>0</v>
      </c>
      <c r="C400" s="5">
        <f>+'2H filtrado'!N371</f>
        <v>0</v>
      </c>
      <c r="D400" s="5">
        <f t="shared" si="7"/>
        <v>-206.99945682995201</v>
      </c>
    </row>
    <row r="401" spans="1:4">
      <c r="A401" s="2">
        <f>+'2H filtrado'!C372</f>
        <v>0</v>
      </c>
      <c r="B401" s="2">
        <f>+'2H filtrado'!D372</f>
        <v>0</v>
      </c>
      <c r="C401" s="5">
        <f>+'2H filtrado'!N372</f>
        <v>0</v>
      </c>
      <c r="D401" s="5">
        <f t="shared" si="7"/>
        <v>-206.99945682995201</v>
      </c>
    </row>
    <row r="402" spans="1:4">
      <c r="A402" s="2">
        <f>+'2H filtrado'!C373</f>
        <v>0</v>
      </c>
      <c r="B402" s="2">
        <f>+'2H filtrado'!D373</f>
        <v>0</v>
      </c>
      <c r="C402" s="5">
        <f>+'2H filtrado'!N373</f>
        <v>0</v>
      </c>
      <c r="D402" s="5">
        <f t="shared" si="7"/>
        <v>-206.99945682995201</v>
      </c>
    </row>
    <row r="403" spans="1:4">
      <c r="A403" s="2">
        <f>+'2H filtrado'!C374</f>
        <v>0</v>
      </c>
      <c r="B403" s="2">
        <f>+'2H filtrado'!D374</f>
        <v>0</v>
      </c>
      <c r="C403" s="5">
        <f>+'2H filtrado'!N374</f>
        <v>0</v>
      </c>
      <c r="D403" s="5">
        <f t="shared" si="7"/>
        <v>-206.99945682995201</v>
      </c>
    </row>
    <row r="404" spans="1:4">
      <c r="A404" s="2">
        <f>+'2H filtrado'!C375</f>
        <v>0</v>
      </c>
      <c r="B404" s="2">
        <f>+'2H filtrado'!D375</f>
        <v>0</v>
      </c>
      <c r="C404" s="5">
        <f>+'2H filtrado'!N375</f>
        <v>0</v>
      </c>
      <c r="D404" s="5">
        <f t="shared" si="7"/>
        <v>-206.99945682995201</v>
      </c>
    </row>
    <row r="405" spans="1:4">
      <c r="A405" s="2">
        <f>+'2H filtrado'!C376</f>
        <v>0</v>
      </c>
      <c r="B405" s="2">
        <f>+'2H filtrado'!D376</f>
        <v>0</v>
      </c>
      <c r="C405" s="5">
        <f>+'2H filtrado'!N376</f>
        <v>0</v>
      </c>
      <c r="D405" s="5">
        <f t="shared" si="7"/>
        <v>-206.99945682995201</v>
      </c>
    </row>
    <row r="406" spans="1:4">
      <c r="A406" s="2">
        <f>+'2H filtrado'!C377</f>
        <v>0</v>
      </c>
      <c r="B406" s="2">
        <f>+'2H filtrado'!D377</f>
        <v>0</v>
      </c>
      <c r="C406" s="5">
        <f>+'2H filtrado'!N377</f>
        <v>0</v>
      </c>
      <c r="D406" s="5">
        <f t="shared" si="7"/>
        <v>-206.99945682995201</v>
      </c>
    </row>
    <row r="407" spans="1:4">
      <c r="A407" s="2">
        <f>+'2H filtrado'!C378</f>
        <v>0</v>
      </c>
      <c r="B407" s="2">
        <f>+'2H filtrado'!D378</f>
        <v>0</v>
      </c>
      <c r="C407" s="5">
        <f>+'2H filtrado'!N378</f>
        <v>0</v>
      </c>
      <c r="D407" s="5">
        <f t="shared" si="7"/>
        <v>-206.99945682995201</v>
      </c>
    </row>
    <row r="408" spans="1:4">
      <c r="A408" s="2">
        <f>+'2H filtrado'!C379</f>
        <v>0</v>
      </c>
      <c r="B408" s="2">
        <f>+'2H filtrado'!D379</f>
        <v>0</v>
      </c>
      <c r="C408" s="5">
        <f>+'2H filtrado'!N379</f>
        <v>0</v>
      </c>
      <c r="D408" s="5">
        <f t="shared" si="7"/>
        <v>-206.99945682995201</v>
      </c>
    </row>
    <row r="409" spans="1:4">
      <c r="A409" s="2">
        <f>+'2H filtrado'!C380</f>
        <v>0</v>
      </c>
      <c r="B409" s="2">
        <f>+'2H filtrado'!D380</f>
        <v>0</v>
      </c>
      <c r="C409" s="5">
        <f>+'2H filtrado'!N380</f>
        <v>0</v>
      </c>
      <c r="D409" s="5">
        <f t="shared" si="7"/>
        <v>-206.99945682995201</v>
      </c>
    </row>
    <row r="410" spans="1:4">
      <c r="A410" s="2">
        <f>+'2H filtrado'!C381</f>
        <v>0</v>
      </c>
      <c r="B410" s="2">
        <f>+'2H filtrado'!D381</f>
        <v>0</v>
      </c>
      <c r="C410" s="5">
        <f>+'2H filtrado'!N381</f>
        <v>0</v>
      </c>
      <c r="D410" s="5">
        <f t="shared" si="7"/>
        <v>-206.99945682995201</v>
      </c>
    </row>
    <row r="411" spans="1:4">
      <c r="A411" s="2">
        <f>+'2H filtrado'!C382</f>
        <v>0</v>
      </c>
      <c r="B411" s="2">
        <f>+'2H filtrado'!D382</f>
        <v>0</v>
      </c>
      <c r="C411" s="5">
        <f>+'2H filtrado'!N382</f>
        <v>0</v>
      </c>
      <c r="D411" s="5">
        <f t="shared" si="7"/>
        <v>-206.99945682995201</v>
      </c>
    </row>
    <row r="412" spans="1:4">
      <c r="A412" s="2">
        <f>+'2H filtrado'!C383</f>
        <v>0</v>
      </c>
      <c r="B412" s="2">
        <f>+'2H filtrado'!D383</f>
        <v>0</v>
      </c>
      <c r="C412" s="5">
        <f>+'2H filtrado'!N383</f>
        <v>0</v>
      </c>
      <c r="D412" s="5">
        <f t="shared" si="7"/>
        <v>-206.99945682995201</v>
      </c>
    </row>
    <row r="413" spans="1:4">
      <c r="A413" s="2">
        <f>+'2H filtrado'!C384</f>
        <v>0</v>
      </c>
      <c r="B413" s="2">
        <f>+'2H filtrado'!D384</f>
        <v>0</v>
      </c>
      <c r="C413" s="5">
        <f>+'2H filtrado'!N384</f>
        <v>0</v>
      </c>
      <c r="D413" s="5">
        <f t="shared" si="7"/>
        <v>-206.99945682995201</v>
      </c>
    </row>
    <row r="414" spans="1:4">
      <c r="A414" s="2">
        <f>+'2H filtrado'!C385</f>
        <v>0</v>
      </c>
      <c r="B414" s="2">
        <f>+'2H filtrado'!D385</f>
        <v>0</v>
      </c>
      <c r="C414" s="5">
        <f>+'2H filtrado'!N385</f>
        <v>0</v>
      </c>
      <c r="D414" s="5">
        <f t="shared" si="7"/>
        <v>-206.99945682995201</v>
      </c>
    </row>
    <row r="415" spans="1:4">
      <c r="A415" s="2">
        <f>+'2H filtrado'!C386</f>
        <v>0</v>
      </c>
      <c r="B415" s="2">
        <f>+'2H filtrado'!D386</f>
        <v>0</v>
      </c>
      <c r="C415" s="5">
        <f>+'2H filtrado'!N386</f>
        <v>0</v>
      </c>
      <c r="D415" s="5">
        <f t="shared" si="7"/>
        <v>-206.99945682995201</v>
      </c>
    </row>
    <row r="416" spans="1:4">
      <c r="A416" s="2">
        <f>+'2H filtrado'!C387</f>
        <v>0</v>
      </c>
      <c r="B416" s="2">
        <f>+'2H filtrado'!D387</f>
        <v>0</v>
      </c>
      <c r="C416" s="5">
        <f>+'2H filtrado'!N387</f>
        <v>0</v>
      </c>
      <c r="D416" s="5">
        <f t="shared" ref="D416:D479" si="8">+(C416-$N$22)/$N$21</f>
        <v>-206.99945682995201</v>
      </c>
    </row>
    <row r="417" spans="1:4">
      <c r="A417" s="2">
        <f>+'2H filtrado'!C388</f>
        <v>0</v>
      </c>
      <c r="B417" s="2">
        <f>+'2H filtrado'!D388</f>
        <v>0</v>
      </c>
      <c r="C417" s="5">
        <f>+'2H filtrado'!N388</f>
        <v>0</v>
      </c>
      <c r="D417" s="5">
        <f t="shared" si="8"/>
        <v>-206.99945682995201</v>
      </c>
    </row>
    <row r="418" spans="1:4">
      <c r="A418" s="2">
        <f>+'2H filtrado'!C389</f>
        <v>0</v>
      </c>
      <c r="B418" s="2">
        <f>+'2H filtrado'!D389</f>
        <v>0</v>
      </c>
      <c r="C418" s="5">
        <f>+'2H filtrado'!N389</f>
        <v>0</v>
      </c>
      <c r="D418" s="5">
        <f t="shared" si="8"/>
        <v>-206.99945682995201</v>
      </c>
    </row>
    <row r="419" spans="1:4">
      <c r="A419" s="2">
        <f>+'2H filtrado'!C390</f>
        <v>0</v>
      </c>
      <c r="B419" s="2">
        <f>+'2H filtrado'!D390</f>
        <v>0</v>
      </c>
      <c r="C419" s="5">
        <f>+'2H filtrado'!N390</f>
        <v>0</v>
      </c>
      <c r="D419" s="5">
        <f t="shared" si="8"/>
        <v>-206.99945682995201</v>
      </c>
    </row>
    <row r="420" spans="1:4">
      <c r="A420" s="2">
        <f>+'2H filtrado'!C391</f>
        <v>0</v>
      </c>
      <c r="B420" s="2">
        <f>+'2H filtrado'!D391</f>
        <v>0</v>
      </c>
      <c r="C420" s="5">
        <f>+'2H filtrado'!N391</f>
        <v>0</v>
      </c>
      <c r="D420" s="5">
        <f t="shared" si="8"/>
        <v>-206.99945682995201</v>
      </c>
    </row>
    <row r="421" spans="1:4">
      <c r="A421" s="2">
        <f>+'2H filtrado'!C392</f>
        <v>0</v>
      </c>
      <c r="B421" s="2">
        <f>+'2H filtrado'!D392</f>
        <v>0</v>
      </c>
      <c r="C421" s="5">
        <f>+'2H filtrado'!N392</f>
        <v>0</v>
      </c>
      <c r="D421" s="5">
        <f t="shared" si="8"/>
        <v>-206.99945682995201</v>
      </c>
    </row>
    <row r="422" spans="1:4">
      <c r="A422" s="2">
        <f>+'2H filtrado'!C393</f>
        <v>0</v>
      </c>
      <c r="B422" s="2">
        <f>+'2H filtrado'!D393</f>
        <v>0</v>
      </c>
      <c r="C422" s="5">
        <f>+'2H filtrado'!N393</f>
        <v>0</v>
      </c>
      <c r="D422" s="5">
        <f t="shared" si="8"/>
        <v>-206.99945682995201</v>
      </c>
    </row>
    <row r="423" spans="1:4">
      <c r="A423" s="2">
        <f>+'2H filtrado'!C394</f>
        <v>0</v>
      </c>
      <c r="B423" s="2">
        <f>+'2H filtrado'!D394</f>
        <v>0</v>
      </c>
      <c r="C423" s="5">
        <f>+'2H filtrado'!N394</f>
        <v>0</v>
      </c>
      <c r="D423" s="5">
        <f t="shared" si="8"/>
        <v>-206.99945682995201</v>
      </c>
    </row>
    <row r="424" spans="1:4">
      <c r="A424" s="2">
        <f>+'2H filtrado'!C395</f>
        <v>0</v>
      </c>
      <c r="B424" s="2">
        <f>+'2H filtrado'!D395</f>
        <v>0</v>
      </c>
      <c r="C424" s="5">
        <f>+'2H filtrado'!N395</f>
        <v>0</v>
      </c>
      <c r="D424" s="5">
        <f t="shared" si="8"/>
        <v>-206.99945682995201</v>
      </c>
    </row>
    <row r="425" spans="1:4">
      <c r="A425" s="2">
        <f>+'2H filtrado'!C396</f>
        <v>0</v>
      </c>
      <c r="B425" s="2">
        <f>+'2H filtrado'!D396</f>
        <v>0</v>
      </c>
      <c r="C425" s="5">
        <f>+'2H filtrado'!N396</f>
        <v>0</v>
      </c>
      <c r="D425" s="5">
        <f t="shared" si="8"/>
        <v>-206.99945682995201</v>
      </c>
    </row>
    <row r="426" spans="1:4">
      <c r="A426" s="2">
        <f>+'2H filtrado'!C397</f>
        <v>0</v>
      </c>
      <c r="B426" s="2">
        <f>+'2H filtrado'!D397</f>
        <v>0</v>
      </c>
      <c r="C426" s="5">
        <f>+'2H filtrado'!N397</f>
        <v>0</v>
      </c>
      <c r="D426" s="5">
        <f t="shared" si="8"/>
        <v>-206.99945682995201</v>
      </c>
    </row>
    <row r="427" spans="1:4">
      <c r="A427" s="2">
        <f>+'2H filtrado'!C398</f>
        <v>0</v>
      </c>
      <c r="B427" s="2">
        <f>+'2H filtrado'!D398</f>
        <v>0</v>
      </c>
      <c r="C427" s="5">
        <f>+'2H filtrado'!N398</f>
        <v>0</v>
      </c>
      <c r="D427" s="5">
        <f t="shared" si="8"/>
        <v>-206.99945682995201</v>
      </c>
    </row>
    <row r="428" spans="1:4">
      <c r="A428" s="2">
        <f>+'2H filtrado'!C399</f>
        <v>0</v>
      </c>
      <c r="B428" s="2">
        <f>+'2H filtrado'!D399</f>
        <v>0</v>
      </c>
      <c r="C428" s="5">
        <f>+'2H filtrado'!N399</f>
        <v>0</v>
      </c>
      <c r="D428" s="5">
        <f t="shared" si="8"/>
        <v>-206.99945682995201</v>
      </c>
    </row>
    <row r="429" spans="1:4">
      <c r="A429" s="2">
        <f>+'2H filtrado'!C400</f>
        <v>0</v>
      </c>
      <c r="B429" s="2">
        <f>+'2H filtrado'!D400</f>
        <v>0</v>
      </c>
      <c r="C429" s="5">
        <f>+'2H filtrado'!N400</f>
        <v>0</v>
      </c>
      <c r="D429" s="5">
        <f t="shared" si="8"/>
        <v>-206.99945682995201</v>
      </c>
    </row>
    <row r="430" spans="1:4">
      <c r="A430" s="2">
        <f>+'2H filtrado'!C401</f>
        <v>0</v>
      </c>
      <c r="B430" s="2">
        <f>+'2H filtrado'!D401</f>
        <v>0</v>
      </c>
      <c r="C430" s="5">
        <f>+'2H filtrado'!N401</f>
        <v>0</v>
      </c>
      <c r="D430" s="5">
        <f t="shared" si="8"/>
        <v>-206.99945682995201</v>
      </c>
    </row>
    <row r="431" spans="1:4">
      <c r="A431" s="2">
        <f>+'2H filtrado'!C402</f>
        <v>0</v>
      </c>
      <c r="B431" s="2">
        <f>+'2H filtrado'!D402</f>
        <v>0</v>
      </c>
      <c r="C431" s="5">
        <f>+'2H filtrado'!N402</f>
        <v>0</v>
      </c>
      <c r="D431" s="5">
        <f t="shared" si="8"/>
        <v>-206.99945682995201</v>
      </c>
    </row>
    <row r="432" spans="1:4">
      <c r="A432" s="2">
        <f>+'2H filtrado'!C403</f>
        <v>0</v>
      </c>
      <c r="B432" s="2">
        <f>+'2H filtrado'!D403</f>
        <v>0</v>
      </c>
      <c r="C432" s="5">
        <f>+'2H filtrado'!N403</f>
        <v>0</v>
      </c>
      <c r="D432" s="5">
        <f t="shared" si="8"/>
        <v>-206.99945682995201</v>
      </c>
    </row>
    <row r="433" spans="1:4">
      <c r="A433" s="2">
        <f>+'2H filtrado'!C404</f>
        <v>0</v>
      </c>
      <c r="B433" s="2">
        <f>+'2H filtrado'!D404</f>
        <v>0</v>
      </c>
      <c r="C433" s="5">
        <f>+'2H filtrado'!N404</f>
        <v>0</v>
      </c>
      <c r="D433" s="5">
        <f t="shared" si="8"/>
        <v>-206.99945682995201</v>
      </c>
    </row>
    <row r="434" spans="1:4">
      <c r="A434" s="2">
        <f>+'2H filtrado'!C405</f>
        <v>0</v>
      </c>
      <c r="B434" s="2">
        <f>+'2H filtrado'!D405</f>
        <v>0</v>
      </c>
      <c r="C434" s="5">
        <f>+'2H filtrado'!N405</f>
        <v>0</v>
      </c>
      <c r="D434" s="5">
        <f t="shared" si="8"/>
        <v>-206.99945682995201</v>
      </c>
    </row>
    <row r="435" spans="1:4">
      <c r="A435" s="2">
        <f>+'2H filtrado'!C406</f>
        <v>0</v>
      </c>
      <c r="B435" s="2">
        <f>+'2H filtrado'!D406</f>
        <v>0</v>
      </c>
      <c r="C435" s="5">
        <f>+'2H filtrado'!N406</f>
        <v>0</v>
      </c>
      <c r="D435" s="5">
        <f t="shared" si="8"/>
        <v>-206.99945682995201</v>
      </c>
    </row>
    <row r="436" spans="1:4">
      <c r="A436" s="2">
        <f>+'2H filtrado'!C407</f>
        <v>0</v>
      </c>
      <c r="B436" s="2">
        <f>+'2H filtrado'!D407</f>
        <v>0</v>
      </c>
      <c r="C436" s="5">
        <f>+'2H filtrado'!N407</f>
        <v>0</v>
      </c>
      <c r="D436" s="5">
        <f t="shared" si="8"/>
        <v>-206.99945682995201</v>
      </c>
    </row>
    <row r="437" spans="1:4">
      <c r="A437" s="2">
        <f>+'2H filtrado'!C408</f>
        <v>0</v>
      </c>
      <c r="B437" s="2">
        <f>+'2H filtrado'!D408</f>
        <v>0</v>
      </c>
      <c r="C437" s="5">
        <f>+'2H filtrado'!N408</f>
        <v>0</v>
      </c>
      <c r="D437" s="5">
        <f t="shared" si="8"/>
        <v>-206.99945682995201</v>
      </c>
    </row>
    <row r="438" spans="1:4">
      <c r="A438" s="2">
        <f>+'2H filtrado'!C409</f>
        <v>0</v>
      </c>
      <c r="B438" s="2">
        <f>+'2H filtrado'!D409</f>
        <v>0</v>
      </c>
      <c r="C438" s="5">
        <f>+'2H filtrado'!N409</f>
        <v>0</v>
      </c>
      <c r="D438" s="5">
        <f t="shared" si="8"/>
        <v>-206.99945682995201</v>
      </c>
    </row>
    <row r="439" spans="1:4">
      <c r="A439" s="2">
        <f>+'2H filtrado'!C410</f>
        <v>0</v>
      </c>
      <c r="B439" s="2">
        <f>+'2H filtrado'!D410</f>
        <v>0</v>
      </c>
      <c r="C439" s="5">
        <f>+'2H filtrado'!N410</f>
        <v>0</v>
      </c>
      <c r="D439" s="5">
        <f t="shared" si="8"/>
        <v>-206.99945682995201</v>
      </c>
    </row>
    <row r="440" spans="1:4">
      <c r="A440" s="2">
        <f>+'2H filtrado'!C411</f>
        <v>0</v>
      </c>
      <c r="B440" s="2">
        <f>+'2H filtrado'!D411</f>
        <v>0</v>
      </c>
      <c r="C440" s="5">
        <f>+'2H filtrado'!N411</f>
        <v>0</v>
      </c>
      <c r="D440" s="5">
        <f t="shared" si="8"/>
        <v>-206.99945682995201</v>
      </c>
    </row>
    <row r="441" spans="1:4">
      <c r="A441" s="2">
        <f>+'2H filtrado'!C412</f>
        <v>0</v>
      </c>
      <c r="B441" s="2">
        <f>+'2H filtrado'!D412</f>
        <v>0</v>
      </c>
      <c r="C441" s="5">
        <f>+'2H filtrado'!N412</f>
        <v>0</v>
      </c>
      <c r="D441" s="5">
        <f t="shared" si="8"/>
        <v>-206.99945682995201</v>
      </c>
    </row>
    <row r="442" spans="1:4">
      <c r="A442" s="2">
        <f>+'2H filtrado'!C413</f>
        <v>0</v>
      </c>
      <c r="B442" s="2">
        <f>+'2H filtrado'!D413</f>
        <v>0</v>
      </c>
      <c r="C442" s="5">
        <f>+'2H filtrado'!N413</f>
        <v>0</v>
      </c>
      <c r="D442" s="5">
        <f t="shared" si="8"/>
        <v>-206.99945682995201</v>
      </c>
    </row>
    <row r="443" spans="1:4">
      <c r="A443" s="2">
        <f>+'2H filtrado'!C414</f>
        <v>0</v>
      </c>
      <c r="B443" s="2">
        <f>+'2H filtrado'!D414</f>
        <v>0</v>
      </c>
      <c r="C443" s="5">
        <f>+'2H filtrado'!N414</f>
        <v>0</v>
      </c>
      <c r="D443" s="5">
        <f t="shared" si="8"/>
        <v>-206.99945682995201</v>
      </c>
    </row>
    <row r="444" spans="1:4">
      <c r="A444" s="2">
        <f>+'2H filtrado'!C415</f>
        <v>0</v>
      </c>
      <c r="B444" s="2">
        <f>+'2H filtrado'!D415</f>
        <v>0</v>
      </c>
      <c r="C444" s="5">
        <f>+'2H filtrado'!N415</f>
        <v>0</v>
      </c>
      <c r="D444" s="5">
        <f t="shared" si="8"/>
        <v>-206.99945682995201</v>
      </c>
    </row>
    <row r="445" spans="1:4">
      <c r="A445" s="2">
        <f>+'2H filtrado'!C416</f>
        <v>0</v>
      </c>
      <c r="B445" s="2">
        <f>+'2H filtrado'!D416</f>
        <v>0</v>
      </c>
      <c r="C445" s="5">
        <f>+'2H filtrado'!N416</f>
        <v>0</v>
      </c>
      <c r="D445" s="5">
        <f t="shared" si="8"/>
        <v>-206.99945682995201</v>
      </c>
    </row>
    <row r="446" spans="1:4">
      <c r="A446" s="2">
        <f>+'2H filtrado'!C417</f>
        <v>0</v>
      </c>
      <c r="B446" s="2">
        <f>+'2H filtrado'!D417</f>
        <v>0</v>
      </c>
      <c r="C446" s="5">
        <f>+'2H filtrado'!N417</f>
        <v>0</v>
      </c>
      <c r="D446" s="5">
        <f t="shared" si="8"/>
        <v>-206.99945682995201</v>
      </c>
    </row>
    <row r="447" spans="1:4">
      <c r="A447" s="2">
        <f>+'2H filtrado'!C418</f>
        <v>0</v>
      </c>
      <c r="B447" s="2">
        <f>+'2H filtrado'!D418</f>
        <v>0</v>
      </c>
      <c r="C447" s="5">
        <f>+'2H filtrado'!N418</f>
        <v>0</v>
      </c>
      <c r="D447" s="5">
        <f t="shared" si="8"/>
        <v>-206.99945682995201</v>
      </c>
    </row>
    <row r="448" spans="1:4">
      <c r="A448" s="2">
        <f>+'2H filtrado'!C419</f>
        <v>0</v>
      </c>
      <c r="B448" s="2">
        <f>+'2H filtrado'!D419</f>
        <v>0</v>
      </c>
      <c r="C448" s="5">
        <f>+'2H filtrado'!N419</f>
        <v>0</v>
      </c>
      <c r="D448" s="5">
        <f t="shared" si="8"/>
        <v>-206.99945682995201</v>
      </c>
    </row>
    <row r="449" spans="1:4">
      <c r="A449" s="2">
        <f>+'2H filtrado'!C420</f>
        <v>0</v>
      </c>
      <c r="B449" s="2">
        <f>+'2H filtrado'!D420</f>
        <v>0</v>
      </c>
      <c r="C449" s="5">
        <f>+'2H filtrado'!N420</f>
        <v>0</v>
      </c>
      <c r="D449" s="5">
        <f t="shared" si="8"/>
        <v>-206.99945682995201</v>
      </c>
    </row>
    <row r="450" spans="1:4">
      <c r="A450" s="2">
        <f>+'2H filtrado'!C421</f>
        <v>0</v>
      </c>
      <c r="B450" s="2">
        <f>+'2H filtrado'!D421</f>
        <v>0</v>
      </c>
      <c r="C450" s="5">
        <f>+'2H filtrado'!N421</f>
        <v>0</v>
      </c>
      <c r="D450" s="5">
        <f t="shared" si="8"/>
        <v>-206.99945682995201</v>
      </c>
    </row>
    <row r="451" spans="1:4">
      <c r="A451" s="2">
        <f>+'2H filtrado'!C422</f>
        <v>0</v>
      </c>
      <c r="B451" s="2">
        <f>+'2H filtrado'!D422</f>
        <v>0</v>
      </c>
      <c r="C451" s="5">
        <f>+'2H filtrado'!N422</f>
        <v>0</v>
      </c>
      <c r="D451" s="5">
        <f t="shared" si="8"/>
        <v>-206.99945682995201</v>
      </c>
    </row>
    <row r="452" spans="1:4">
      <c r="A452" s="2">
        <f>+'2H filtrado'!C423</f>
        <v>0</v>
      </c>
      <c r="B452" s="2">
        <f>+'2H filtrado'!D423</f>
        <v>0</v>
      </c>
      <c r="C452" s="5">
        <f>+'2H filtrado'!N423</f>
        <v>0</v>
      </c>
      <c r="D452" s="5">
        <f t="shared" si="8"/>
        <v>-206.99945682995201</v>
      </c>
    </row>
    <row r="453" spans="1:4">
      <c r="A453" s="2">
        <f>+'2H filtrado'!C424</f>
        <v>0</v>
      </c>
      <c r="B453" s="2">
        <f>+'2H filtrado'!D424</f>
        <v>0</v>
      </c>
      <c r="C453" s="5">
        <f>+'2H filtrado'!N424</f>
        <v>0</v>
      </c>
      <c r="D453" s="5">
        <f t="shared" si="8"/>
        <v>-206.99945682995201</v>
      </c>
    </row>
    <row r="454" spans="1:4">
      <c r="A454" s="2">
        <f>+'2H filtrado'!C425</f>
        <v>0</v>
      </c>
      <c r="B454" s="2">
        <f>+'2H filtrado'!D425</f>
        <v>0</v>
      </c>
      <c r="C454" s="5">
        <f>+'2H filtrado'!N425</f>
        <v>0</v>
      </c>
      <c r="D454" s="5">
        <f t="shared" si="8"/>
        <v>-206.99945682995201</v>
      </c>
    </row>
    <row r="455" spans="1:4">
      <c r="A455" s="2">
        <f>+'2H filtrado'!C426</f>
        <v>0</v>
      </c>
      <c r="B455" s="2">
        <f>+'2H filtrado'!D426</f>
        <v>0</v>
      </c>
      <c r="C455" s="5">
        <f>+'2H filtrado'!N426</f>
        <v>0</v>
      </c>
      <c r="D455" s="5">
        <f t="shared" si="8"/>
        <v>-206.99945682995201</v>
      </c>
    </row>
    <row r="456" spans="1:4">
      <c r="A456" s="2">
        <f>+'2H filtrado'!C427</f>
        <v>0</v>
      </c>
      <c r="B456" s="2">
        <f>+'2H filtrado'!D427</f>
        <v>0</v>
      </c>
      <c r="C456" s="5">
        <f>+'2H filtrado'!N427</f>
        <v>0</v>
      </c>
      <c r="D456" s="5">
        <f t="shared" si="8"/>
        <v>-206.99945682995201</v>
      </c>
    </row>
    <row r="457" spans="1:4">
      <c r="A457" s="2">
        <f>+'2H filtrado'!C428</f>
        <v>0</v>
      </c>
      <c r="B457" s="2">
        <f>+'2H filtrado'!D428</f>
        <v>0</v>
      </c>
      <c r="C457" s="5">
        <f>+'2H filtrado'!N428</f>
        <v>0</v>
      </c>
      <c r="D457" s="5">
        <f t="shared" si="8"/>
        <v>-206.99945682995201</v>
      </c>
    </row>
    <row r="458" spans="1:4">
      <c r="A458" s="2">
        <f>+'2H filtrado'!C429</f>
        <v>0</v>
      </c>
      <c r="B458" s="2">
        <f>+'2H filtrado'!D429</f>
        <v>0</v>
      </c>
      <c r="C458" s="5">
        <f>+'2H filtrado'!N429</f>
        <v>0</v>
      </c>
      <c r="D458" s="5">
        <f t="shared" si="8"/>
        <v>-206.99945682995201</v>
      </c>
    </row>
    <row r="459" spans="1:4">
      <c r="A459" s="2">
        <f>+'2H filtrado'!C430</f>
        <v>0</v>
      </c>
      <c r="B459" s="2">
        <f>+'2H filtrado'!D430</f>
        <v>0</v>
      </c>
      <c r="C459" s="5">
        <f>+'2H filtrado'!N430</f>
        <v>0</v>
      </c>
      <c r="D459" s="5">
        <f t="shared" si="8"/>
        <v>-206.99945682995201</v>
      </c>
    </row>
    <row r="460" spans="1:4">
      <c r="A460" s="2">
        <f>+'2H filtrado'!C431</f>
        <v>0</v>
      </c>
      <c r="B460" s="2">
        <f>+'2H filtrado'!D431</f>
        <v>0</v>
      </c>
      <c r="C460" s="5">
        <f>+'2H filtrado'!N431</f>
        <v>0</v>
      </c>
      <c r="D460" s="5">
        <f t="shared" si="8"/>
        <v>-206.99945682995201</v>
      </c>
    </row>
    <row r="461" spans="1:4">
      <c r="A461" s="2">
        <f>+'2H filtrado'!C432</f>
        <v>0</v>
      </c>
      <c r="B461" s="2">
        <f>+'2H filtrado'!D432</f>
        <v>0</v>
      </c>
      <c r="C461" s="5">
        <f>+'2H filtrado'!N432</f>
        <v>0</v>
      </c>
      <c r="D461" s="5">
        <f t="shared" si="8"/>
        <v>-206.99945682995201</v>
      </c>
    </row>
    <row r="462" spans="1:4">
      <c r="A462" s="2">
        <f>+'2H filtrado'!C433</f>
        <v>0</v>
      </c>
      <c r="B462" s="2">
        <f>+'2H filtrado'!D433</f>
        <v>0</v>
      </c>
      <c r="C462" s="5">
        <f>+'2H filtrado'!N433</f>
        <v>0</v>
      </c>
      <c r="D462" s="5">
        <f t="shared" si="8"/>
        <v>-206.99945682995201</v>
      </c>
    </row>
    <row r="463" spans="1:4">
      <c r="A463" s="2">
        <f>+'2H filtrado'!C434</f>
        <v>0</v>
      </c>
      <c r="B463" s="2">
        <f>+'2H filtrado'!D434</f>
        <v>0</v>
      </c>
      <c r="C463" s="5">
        <f>+'2H filtrado'!N434</f>
        <v>0</v>
      </c>
      <c r="D463" s="5">
        <f t="shared" si="8"/>
        <v>-206.99945682995201</v>
      </c>
    </row>
    <row r="464" spans="1:4">
      <c r="A464" s="2">
        <f>+'2H filtrado'!C435</f>
        <v>0</v>
      </c>
      <c r="B464" s="2">
        <f>+'2H filtrado'!D435</f>
        <v>0</v>
      </c>
      <c r="C464" s="5">
        <f>+'2H filtrado'!N435</f>
        <v>0</v>
      </c>
      <c r="D464" s="5">
        <f t="shared" si="8"/>
        <v>-206.99945682995201</v>
      </c>
    </row>
    <row r="465" spans="1:4">
      <c r="A465" s="2">
        <f>+'2H filtrado'!C436</f>
        <v>0</v>
      </c>
      <c r="B465" s="2">
        <f>+'2H filtrado'!D436</f>
        <v>0</v>
      </c>
      <c r="C465" s="5">
        <f>+'2H filtrado'!N436</f>
        <v>0</v>
      </c>
      <c r="D465" s="5">
        <f t="shared" si="8"/>
        <v>-206.99945682995201</v>
      </c>
    </row>
    <row r="466" spans="1:4">
      <c r="A466" s="2">
        <f>+'2H filtrado'!C437</f>
        <v>0</v>
      </c>
      <c r="B466" s="2">
        <f>+'2H filtrado'!D437</f>
        <v>0</v>
      </c>
      <c r="C466" s="5">
        <f>+'2H filtrado'!N437</f>
        <v>0</v>
      </c>
      <c r="D466" s="5">
        <f t="shared" si="8"/>
        <v>-206.99945682995201</v>
      </c>
    </row>
    <row r="467" spans="1:4">
      <c r="A467" s="2">
        <f>+'2H filtrado'!C438</f>
        <v>0</v>
      </c>
      <c r="B467" s="2">
        <f>+'2H filtrado'!D438</f>
        <v>0</v>
      </c>
      <c r="C467" s="5">
        <f>+'2H filtrado'!N438</f>
        <v>0</v>
      </c>
      <c r="D467" s="5">
        <f t="shared" si="8"/>
        <v>-206.99945682995201</v>
      </c>
    </row>
    <row r="468" spans="1:4">
      <c r="A468" s="2">
        <f>+'2H filtrado'!C439</f>
        <v>0</v>
      </c>
      <c r="B468" s="2">
        <f>+'2H filtrado'!D439</f>
        <v>0</v>
      </c>
      <c r="C468" s="5">
        <f>+'2H filtrado'!N439</f>
        <v>0</v>
      </c>
      <c r="D468" s="5">
        <f t="shared" si="8"/>
        <v>-206.99945682995201</v>
      </c>
    </row>
    <row r="469" spans="1:4">
      <c r="A469" s="2">
        <f>+'2H filtrado'!C440</f>
        <v>0</v>
      </c>
      <c r="B469" s="2">
        <f>+'2H filtrado'!D440</f>
        <v>0</v>
      </c>
      <c r="C469" s="5">
        <f>+'2H filtrado'!N440</f>
        <v>0</v>
      </c>
      <c r="D469" s="5">
        <f t="shared" si="8"/>
        <v>-206.99945682995201</v>
      </c>
    </row>
    <row r="470" spans="1:4">
      <c r="A470" s="2">
        <f>+'2H filtrado'!C441</f>
        <v>0</v>
      </c>
      <c r="B470" s="2">
        <f>+'2H filtrado'!D441</f>
        <v>0</v>
      </c>
      <c r="C470" s="5">
        <f>+'2H filtrado'!N441</f>
        <v>0</v>
      </c>
      <c r="D470" s="5">
        <f t="shared" si="8"/>
        <v>-206.99945682995201</v>
      </c>
    </row>
    <row r="471" spans="1:4">
      <c r="A471" s="2">
        <f>+'2H filtrado'!C442</f>
        <v>0</v>
      </c>
      <c r="B471" s="2">
        <f>+'2H filtrado'!D442</f>
        <v>0</v>
      </c>
      <c r="C471" s="5">
        <f>+'2H filtrado'!N442</f>
        <v>0</v>
      </c>
      <c r="D471" s="5">
        <f t="shared" si="8"/>
        <v>-206.99945682995201</v>
      </c>
    </row>
    <row r="472" spans="1:4">
      <c r="A472" s="2">
        <f>+'2H filtrado'!C443</f>
        <v>0</v>
      </c>
      <c r="B472" s="2">
        <f>+'2H filtrado'!D443</f>
        <v>0</v>
      </c>
      <c r="C472" s="5">
        <f>+'2H filtrado'!N443</f>
        <v>0</v>
      </c>
      <c r="D472" s="5">
        <f t="shared" si="8"/>
        <v>-206.99945682995201</v>
      </c>
    </row>
    <row r="473" spans="1:4">
      <c r="A473" s="2">
        <f>+'2H filtrado'!C444</f>
        <v>0</v>
      </c>
      <c r="B473" s="2">
        <f>+'2H filtrado'!D444</f>
        <v>0</v>
      </c>
      <c r="C473" s="5">
        <f>+'2H filtrado'!N444</f>
        <v>0</v>
      </c>
      <c r="D473" s="5">
        <f t="shared" si="8"/>
        <v>-206.99945682995201</v>
      </c>
    </row>
    <row r="474" spans="1:4">
      <c r="A474" s="2">
        <f>+'2H filtrado'!C445</f>
        <v>0</v>
      </c>
      <c r="B474" s="2">
        <f>+'2H filtrado'!D445</f>
        <v>0</v>
      </c>
      <c r="C474" s="5">
        <f>+'2H filtrado'!N445</f>
        <v>0</v>
      </c>
      <c r="D474" s="5">
        <f t="shared" si="8"/>
        <v>-206.99945682995201</v>
      </c>
    </row>
    <row r="475" spans="1:4">
      <c r="A475" s="2">
        <f>+'2H filtrado'!C446</f>
        <v>0</v>
      </c>
      <c r="B475" s="2">
        <f>+'2H filtrado'!D446</f>
        <v>0</v>
      </c>
      <c r="C475" s="5">
        <f>+'2H filtrado'!N446</f>
        <v>0</v>
      </c>
      <c r="D475" s="5">
        <f t="shared" si="8"/>
        <v>-206.99945682995201</v>
      </c>
    </row>
    <row r="476" spans="1:4">
      <c r="A476" s="2">
        <f>+'2H filtrado'!C447</f>
        <v>0</v>
      </c>
      <c r="B476" s="2">
        <f>+'2H filtrado'!D447</f>
        <v>0</v>
      </c>
      <c r="C476" s="5">
        <f>+'2H filtrado'!N447</f>
        <v>0</v>
      </c>
      <c r="D476" s="5">
        <f t="shared" si="8"/>
        <v>-206.99945682995201</v>
      </c>
    </row>
    <row r="477" spans="1:4">
      <c r="A477" s="2">
        <f>+'2H filtrado'!C448</f>
        <v>0</v>
      </c>
      <c r="B477" s="2">
        <f>+'2H filtrado'!D448</f>
        <v>0</v>
      </c>
      <c r="C477" s="5">
        <f>+'2H filtrado'!N448</f>
        <v>0</v>
      </c>
      <c r="D477" s="5">
        <f t="shared" si="8"/>
        <v>-206.99945682995201</v>
      </c>
    </row>
    <row r="478" spans="1:4">
      <c r="A478" s="2">
        <f>+'2H filtrado'!C449</f>
        <v>0</v>
      </c>
      <c r="B478" s="2">
        <f>+'2H filtrado'!D449</f>
        <v>0</v>
      </c>
      <c r="C478" s="5">
        <f>+'2H filtrado'!N449</f>
        <v>0</v>
      </c>
      <c r="D478" s="5">
        <f t="shared" si="8"/>
        <v>-206.99945682995201</v>
      </c>
    </row>
    <row r="479" spans="1:4">
      <c r="A479" s="2">
        <f>+'2H filtrado'!C450</f>
        <v>0</v>
      </c>
      <c r="B479" s="2">
        <f>+'2H filtrado'!D450</f>
        <v>0</v>
      </c>
      <c r="C479" s="5">
        <f>+'2H filtrado'!N450</f>
        <v>0</v>
      </c>
      <c r="D479" s="5">
        <f t="shared" si="8"/>
        <v>-206.99945682995201</v>
      </c>
    </row>
    <row r="480" spans="1:4">
      <c r="A480" s="2">
        <f>+'2H filtrado'!C451</f>
        <v>0</v>
      </c>
      <c r="B480" s="2">
        <f>+'2H filtrado'!D451</f>
        <v>0</v>
      </c>
      <c r="C480" s="5">
        <f>+'2H filtrado'!N451</f>
        <v>0</v>
      </c>
      <c r="D480" s="5">
        <f t="shared" ref="D480:D543" si="9">+(C480-$N$22)/$N$21</f>
        <v>-206.99945682995201</v>
      </c>
    </row>
    <row r="481" spans="1:4">
      <c r="A481" s="2">
        <f>+'2H filtrado'!C452</f>
        <v>0</v>
      </c>
      <c r="B481" s="2">
        <f>+'2H filtrado'!D452</f>
        <v>0</v>
      </c>
      <c r="C481" s="5">
        <f>+'2H filtrado'!N452</f>
        <v>0</v>
      </c>
      <c r="D481" s="5">
        <f t="shared" si="9"/>
        <v>-206.99945682995201</v>
      </c>
    </row>
    <row r="482" spans="1:4">
      <c r="A482" s="2">
        <f>+'2H filtrado'!C453</f>
        <v>0</v>
      </c>
      <c r="B482" s="2">
        <f>+'2H filtrado'!D453</f>
        <v>0</v>
      </c>
      <c r="C482" s="5">
        <f>+'2H filtrado'!N453</f>
        <v>0</v>
      </c>
      <c r="D482" s="5">
        <f t="shared" si="9"/>
        <v>-206.99945682995201</v>
      </c>
    </row>
    <row r="483" spans="1:4">
      <c r="A483" s="2">
        <f>+'2H filtrado'!C454</f>
        <v>0</v>
      </c>
      <c r="B483" s="2">
        <f>+'2H filtrado'!D454</f>
        <v>0</v>
      </c>
      <c r="C483" s="5">
        <f>+'2H filtrado'!N454</f>
        <v>0</v>
      </c>
      <c r="D483" s="5">
        <f t="shared" si="9"/>
        <v>-206.99945682995201</v>
      </c>
    </row>
    <row r="484" spans="1:4">
      <c r="A484" s="2">
        <f>+'2H filtrado'!C455</f>
        <v>0</v>
      </c>
      <c r="B484" s="2">
        <f>+'2H filtrado'!D455</f>
        <v>0</v>
      </c>
      <c r="C484" s="5">
        <f>+'2H filtrado'!N455</f>
        <v>0</v>
      </c>
      <c r="D484" s="5">
        <f t="shared" si="9"/>
        <v>-206.99945682995201</v>
      </c>
    </row>
    <row r="485" spans="1:4">
      <c r="A485" s="2">
        <f>+'2H filtrado'!C456</f>
        <v>0</v>
      </c>
      <c r="B485" s="2">
        <f>+'2H filtrado'!D456</f>
        <v>0</v>
      </c>
      <c r="C485" s="5">
        <f>+'2H filtrado'!N456</f>
        <v>0</v>
      </c>
      <c r="D485" s="5">
        <f t="shared" si="9"/>
        <v>-206.99945682995201</v>
      </c>
    </row>
    <row r="486" spans="1:4">
      <c r="A486" s="2">
        <f>+'2H filtrado'!C457</f>
        <v>0</v>
      </c>
      <c r="B486" s="2">
        <f>+'2H filtrado'!D457</f>
        <v>0</v>
      </c>
      <c r="C486" s="5">
        <f>+'2H filtrado'!N457</f>
        <v>0</v>
      </c>
      <c r="D486" s="5">
        <f t="shared" si="9"/>
        <v>-206.99945682995201</v>
      </c>
    </row>
    <row r="487" spans="1:4">
      <c r="A487" s="2">
        <f>+'2H filtrado'!C458</f>
        <v>0</v>
      </c>
      <c r="B487" s="2">
        <f>+'2H filtrado'!D458</f>
        <v>0</v>
      </c>
      <c r="C487" s="5">
        <f>+'2H filtrado'!N458</f>
        <v>0</v>
      </c>
      <c r="D487" s="5">
        <f t="shared" si="9"/>
        <v>-206.99945682995201</v>
      </c>
    </row>
    <row r="488" spans="1:4">
      <c r="A488" s="2">
        <f>+'2H filtrado'!C459</f>
        <v>0</v>
      </c>
      <c r="B488" s="2">
        <f>+'2H filtrado'!D459</f>
        <v>0</v>
      </c>
      <c r="C488" s="5">
        <f>+'2H filtrado'!N459</f>
        <v>0</v>
      </c>
      <c r="D488" s="5">
        <f t="shared" si="9"/>
        <v>-206.99945682995201</v>
      </c>
    </row>
    <row r="489" spans="1:4">
      <c r="A489" s="2">
        <f>+'2H filtrado'!C460</f>
        <v>0</v>
      </c>
      <c r="B489" s="2">
        <f>+'2H filtrado'!D460</f>
        <v>0</v>
      </c>
      <c r="C489" s="5">
        <f>+'2H filtrado'!N460</f>
        <v>0</v>
      </c>
      <c r="D489" s="5">
        <f t="shared" si="9"/>
        <v>-206.99945682995201</v>
      </c>
    </row>
    <row r="490" spans="1:4">
      <c r="A490" s="2">
        <f>+'2H filtrado'!C461</f>
        <v>0</v>
      </c>
      <c r="B490" s="2">
        <f>+'2H filtrado'!D461</f>
        <v>0</v>
      </c>
      <c r="C490" s="5">
        <f>+'2H filtrado'!N461</f>
        <v>0</v>
      </c>
      <c r="D490" s="5">
        <f t="shared" si="9"/>
        <v>-206.99945682995201</v>
      </c>
    </row>
    <row r="491" spans="1:4">
      <c r="A491" s="2">
        <f>+'2H filtrado'!C462</f>
        <v>0</v>
      </c>
      <c r="B491" s="2">
        <f>+'2H filtrado'!D462</f>
        <v>0</v>
      </c>
      <c r="C491" s="5">
        <f>+'2H filtrado'!N462</f>
        <v>0</v>
      </c>
      <c r="D491" s="5">
        <f t="shared" si="9"/>
        <v>-206.99945682995201</v>
      </c>
    </row>
    <row r="492" spans="1:4">
      <c r="A492" s="2">
        <f>+'2H filtrado'!C463</f>
        <v>0</v>
      </c>
      <c r="B492" s="2">
        <f>+'2H filtrado'!D463</f>
        <v>0</v>
      </c>
      <c r="C492" s="5">
        <f>+'2H filtrado'!N463</f>
        <v>0</v>
      </c>
      <c r="D492" s="5">
        <f t="shared" si="9"/>
        <v>-206.99945682995201</v>
      </c>
    </row>
    <row r="493" spans="1:4">
      <c r="A493" s="2">
        <f>+'2H filtrado'!C464</f>
        <v>0</v>
      </c>
      <c r="B493" s="2">
        <f>+'2H filtrado'!D464</f>
        <v>0</v>
      </c>
      <c r="C493" s="5">
        <f>+'2H filtrado'!N464</f>
        <v>0</v>
      </c>
      <c r="D493" s="5">
        <f t="shared" si="9"/>
        <v>-206.99945682995201</v>
      </c>
    </row>
    <row r="494" spans="1:4">
      <c r="A494" s="2">
        <f>+'2H filtrado'!C465</f>
        <v>0</v>
      </c>
      <c r="B494" s="2">
        <f>+'2H filtrado'!D465</f>
        <v>0</v>
      </c>
      <c r="C494" s="5">
        <f>+'2H filtrado'!N465</f>
        <v>0</v>
      </c>
      <c r="D494" s="5">
        <f t="shared" si="9"/>
        <v>-206.99945682995201</v>
      </c>
    </row>
    <row r="495" spans="1:4">
      <c r="A495" s="2">
        <f>+'2H filtrado'!C466</f>
        <v>0</v>
      </c>
      <c r="B495" s="2">
        <f>+'2H filtrado'!D466</f>
        <v>0</v>
      </c>
      <c r="C495" s="5">
        <f>+'2H filtrado'!N466</f>
        <v>0</v>
      </c>
      <c r="D495" s="5">
        <f t="shared" si="9"/>
        <v>-206.99945682995201</v>
      </c>
    </row>
    <row r="496" spans="1:4">
      <c r="A496" s="2">
        <f>+'2H filtrado'!C467</f>
        <v>0</v>
      </c>
      <c r="B496" s="2">
        <f>+'2H filtrado'!D467</f>
        <v>0</v>
      </c>
      <c r="C496" s="5">
        <f>+'2H filtrado'!N467</f>
        <v>0</v>
      </c>
      <c r="D496" s="5">
        <f t="shared" si="9"/>
        <v>-206.99945682995201</v>
      </c>
    </row>
    <row r="497" spans="1:4">
      <c r="A497" s="2">
        <f>+'2H filtrado'!C468</f>
        <v>0</v>
      </c>
      <c r="B497" s="2">
        <f>+'2H filtrado'!D468</f>
        <v>0</v>
      </c>
      <c r="C497" s="5">
        <f>+'2H filtrado'!N468</f>
        <v>0</v>
      </c>
      <c r="D497" s="5">
        <f t="shared" si="9"/>
        <v>-206.99945682995201</v>
      </c>
    </row>
    <row r="498" spans="1:4">
      <c r="A498" s="2">
        <f>+'2H filtrado'!C469</f>
        <v>0</v>
      </c>
      <c r="B498" s="2">
        <f>+'2H filtrado'!D469</f>
        <v>0</v>
      </c>
      <c r="C498" s="5">
        <f>+'2H filtrado'!N469</f>
        <v>0</v>
      </c>
      <c r="D498" s="5">
        <f t="shared" si="9"/>
        <v>-206.99945682995201</v>
      </c>
    </row>
    <row r="499" spans="1:4">
      <c r="A499" s="2">
        <f>+'2H filtrado'!C470</f>
        <v>0</v>
      </c>
      <c r="B499" s="2">
        <f>+'2H filtrado'!D470</f>
        <v>0</v>
      </c>
      <c r="C499" s="5">
        <f>+'2H filtrado'!N470</f>
        <v>0</v>
      </c>
      <c r="D499" s="5">
        <f t="shared" si="9"/>
        <v>-206.99945682995201</v>
      </c>
    </row>
    <row r="500" spans="1:4">
      <c r="A500" s="2">
        <f>+'2H filtrado'!C471</f>
        <v>0</v>
      </c>
      <c r="B500" s="2">
        <f>+'2H filtrado'!D471</f>
        <v>0</v>
      </c>
      <c r="C500" s="5">
        <f>+'2H filtrado'!N471</f>
        <v>0</v>
      </c>
      <c r="D500" s="5">
        <f t="shared" si="9"/>
        <v>-206.99945682995201</v>
      </c>
    </row>
    <row r="501" spans="1:4">
      <c r="A501" s="2">
        <f>+'2H filtrado'!C472</f>
        <v>0</v>
      </c>
      <c r="B501" s="2">
        <f>+'2H filtrado'!D472</f>
        <v>0</v>
      </c>
      <c r="C501" s="5">
        <f>+'2H filtrado'!N472</f>
        <v>0</v>
      </c>
      <c r="D501" s="5">
        <f t="shared" si="9"/>
        <v>-206.99945682995201</v>
      </c>
    </row>
    <row r="502" spans="1:4">
      <c r="A502" s="2">
        <f>+'2H filtrado'!C473</f>
        <v>0</v>
      </c>
      <c r="B502" s="2">
        <f>+'2H filtrado'!D473</f>
        <v>0</v>
      </c>
      <c r="C502" s="5">
        <f>+'2H filtrado'!N473</f>
        <v>0</v>
      </c>
      <c r="D502" s="5">
        <f t="shared" si="9"/>
        <v>-206.99945682995201</v>
      </c>
    </row>
    <row r="503" spans="1:4">
      <c r="A503" s="2">
        <f>+'2H filtrado'!C474</f>
        <v>0</v>
      </c>
      <c r="B503" s="2">
        <f>+'2H filtrado'!D474</f>
        <v>0</v>
      </c>
      <c r="C503" s="5">
        <f>+'2H filtrado'!N474</f>
        <v>0</v>
      </c>
      <c r="D503" s="5">
        <f t="shared" si="9"/>
        <v>-206.99945682995201</v>
      </c>
    </row>
    <row r="504" spans="1:4">
      <c r="A504" s="2">
        <f>+'2H filtrado'!C475</f>
        <v>0</v>
      </c>
      <c r="B504" s="2">
        <f>+'2H filtrado'!D475</f>
        <v>0</v>
      </c>
      <c r="C504" s="5">
        <f>+'2H filtrado'!N475</f>
        <v>0</v>
      </c>
      <c r="D504" s="5">
        <f t="shared" si="9"/>
        <v>-206.99945682995201</v>
      </c>
    </row>
    <row r="505" spans="1:4">
      <c r="A505" s="2">
        <f>+'2H filtrado'!C476</f>
        <v>0</v>
      </c>
      <c r="B505" s="2">
        <f>+'2H filtrado'!D476</f>
        <v>0</v>
      </c>
      <c r="C505" s="5">
        <f>+'2H filtrado'!N476</f>
        <v>0</v>
      </c>
      <c r="D505" s="5">
        <f t="shared" si="9"/>
        <v>-206.99945682995201</v>
      </c>
    </row>
    <row r="506" spans="1:4">
      <c r="A506" s="2">
        <f>+'2H filtrado'!C477</f>
        <v>0</v>
      </c>
      <c r="B506" s="2">
        <f>+'2H filtrado'!D477</f>
        <v>0</v>
      </c>
      <c r="C506" s="5">
        <f>+'2H filtrado'!N477</f>
        <v>0</v>
      </c>
      <c r="D506" s="5">
        <f t="shared" si="9"/>
        <v>-206.99945682995201</v>
      </c>
    </row>
    <row r="507" spans="1:4">
      <c r="A507" s="2">
        <f>+'2H filtrado'!C478</f>
        <v>0</v>
      </c>
      <c r="B507" s="2">
        <f>+'2H filtrado'!D478</f>
        <v>0</v>
      </c>
      <c r="C507" s="5">
        <f>+'2H filtrado'!N478</f>
        <v>0</v>
      </c>
      <c r="D507" s="5">
        <f t="shared" si="9"/>
        <v>-206.99945682995201</v>
      </c>
    </row>
    <row r="508" spans="1:4">
      <c r="A508" s="2">
        <f>+'2H filtrado'!C479</f>
        <v>0</v>
      </c>
      <c r="B508" s="2">
        <f>+'2H filtrado'!D479</f>
        <v>0</v>
      </c>
      <c r="C508" s="5">
        <f>+'2H filtrado'!N479</f>
        <v>0</v>
      </c>
      <c r="D508" s="5">
        <f t="shared" si="9"/>
        <v>-206.99945682995201</v>
      </c>
    </row>
    <row r="509" spans="1:4">
      <c r="A509" s="2">
        <f>+'2H filtrado'!C480</f>
        <v>0</v>
      </c>
      <c r="B509" s="2">
        <f>+'2H filtrado'!D480</f>
        <v>0</v>
      </c>
      <c r="C509" s="5">
        <f>+'2H filtrado'!N480</f>
        <v>0</v>
      </c>
      <c r="D509" s="5">
        <f t="shared" si="9"/>
        <v>-206.99945682995201</v>
      </c>
    </row>
    <row r="510" spans="1:4">
      <c r="A510" s="2">
        <f>+'2H filtrado'!C481</f>
        <v>0</v>
      </c>
      <c r="B510" s="2">
        <f>+'2H filtrado'!D481</f>
        <v>0</v>
      </c>
      <c r="C510" s="5">
        <f>+'2H filtrado'!N481</f>
        <v>0</v>
      </c>
      <c r="D510" s="5">
        <f t="shared" si="9"/>
        <v>-206.99945682995201</v>
      </c>
    </row>
    <row r="511" spans="1:4">
      <c r="A511" s="2">
        <f>+'2H filtrado'!C482</f>
        <v>0</v>
      </c>
      <c r="B511" s="2">
        <f>+'2H filtrado'!D482</f>
        <v>0</v>
      </c>
      <c r="C511" s="5">
        <f>+'2H filtrado'!N482</f>
        <v>0</v>
      </c>
      <c r="D511" s="5">
        <f t="shared" si="9"/>
        <v>-206.99945682995201</v>
      </c>
    </row>
    <row r="512" spans="1:4">
      <c r="A512" s="2">
        <f>+'2H filtrado'!C483</f>
        <v>0</v>
      </c>
      <c r="B512" s="2">
        <f>+'2H filtrado'!D483</f>
        <v>0</v>
      </c>
      <c r="C512" s="5">
        <f>+'2H filtrado'!N483</f>
        <v>0</v>
      </c>
      <c r="D512" s="5">
        <f t="shared" si="9"/>
        <v>-206.99945682995201</v>
      </c>
    </row>
    <row r="513" spans="1:4">
      <c r="A513" s="2">
        <f>+'2H filtrado'!C484</f>
        <v>0</v>
      </c>
      <c r="B513" s="2">
        <f>+'2H filtrado'!D484</f>
        <v>0</v>
      </c>
      <c r="C513" s="5">
        <f>+'2H filtrado'!N484</f>
        <v>0</v>
      </c>
      <c r="D513" s="5">
        <f t="shared" si="9"/>
        <v>-206.99945682995201</v>
      </c>
    </row>
    <row r="514" spans="1:4">
      <c r="A514" s="2">
        <f>+'2H filtrado'!C485</f>
        <v>0</v>
      </c>
      <c r="B514" s="2">
        <f>+'2H filtrado'!D485</f>
        <v>0</v>
      </c>
      <c r="C514" s="5">
        <f>+'2H filtrado'!N485</f>
        <v>0</v>
      </c>
      <c r="D514" s="5">
        <f t="shared" si="9"/>
        <v>-206.99945682995201</v>
      </c>
    </row>
    <row r="515" spans="1:4">
      <c r="A515" s="2">
        <f>+'2H filtrado'!C486</f>
        <v>0</v>
      </c>
      <c r="B515" s="2">
        <f>+'2H filtrado'!D486</f>
        <v>0</v>
      </c>
      <c r="C515" s="5">
        <f>+'2H filtrado'!N486</f>
        <v>0</v>
      </c>
      <c r="D515" s="5">
        <f t="shared" si="9"/>
        <v>-206.99945682995201</v>
      </c>
    </row>
    <row r="516" spans="1:4">
      <c r="A516" s="2">
        <f>+'2H filtrado'!C487</f>
        <v>0</v>
      </c>
      <c r="B516" s="2">
        <f>+'2H filtrado'!D487</f>
        <v>0</v>
      </c>
      <c r="C516" s="5">
        <f>+'2H filtrado'!N487</f>
        <v>0</v>
      </c>
      <c r="D516" s="5">
        <f t="shared" si="9"/>
        <v>-206.99945682995201</v>
      </c>
    </row>
    <row r="517" spans="1:4">
      <c r="A517" s="2">
        <f>+'2H filtrado'!C488</f>
        <v>0</v>
      </c>
      <c r="B517" s="2">
        <f>+'2H filtrado'!D488</f>
        <v>0</v>
      </c>
      <c r="C517" s="5">
        <f>+'2H filtrado'!N488</f>
        <v>0</v>
      </c>
      <c r="D517" s="5">
        <f t="shared" si="9"/>
        <v>-206.99945682995201</v>
      </c>
    </row>
    <row r="518" spans="1:4">
      <c r="A518" s="2">
        <f>+'2H filtrado'!C489</f>
        <v>0</v>
      </c>
      <c r="B518" s="2">
        <f>+'2H filtrado'!D489</f>
        <v>0</v>
      </c>
      <c r="C518" s="5">
        <f>+'2H filtrado'!N489</f>
        <v>0</v>
      </c>
      <c r="D518" s="5">
        <f t="shared" si="9"/>
        <v>-206.99945682995201</v>
      </c>
    </row>
    <row r="519" spans="1:4">
      <c r="A519" s="2">
        <f>+'2H filtrado'!C490</f>
        <v>0</v>
      </c>
      <c r="B519" s="2">
        <f>+'2H filtrado'!D490</f>
        <v>0</v>
      </c>
      <c r="C519" s="5">
        <f>+'2H filtrado'!N490</f>
        <v>0</v>
      </c>
      <c r="D519" s="5">
        <f t="shared" si="9"/>
        <v>-206.99945682995201</v>
      </c>
    </row>
    <row r="520" spans="1:4">
      <c r="A520" s="2">
        <f>+'2H filtrado'!C491</f>
        <v>0</v>
      </c>
      <c r="B520" s="2">
        <f>+'2H filtrado'!D491</f>
        <v>0</v>
      </c>
      <c r="C520" s="5">
        <f>+'2H filtrado'!N491</f>
        <v>0</v>
      </c>
      <c r="D520" s="5">
        <f t="shared" si="9"/>
        <v>-206.99945682995201</v>
      </c>
    </row>
    <row r="521" spans="1:4">
      <c r="A521" s="2">
        <f>+'2H filtrado'!C492</f>
        <v>0</v>
      </c>
      <c r="B521" s="2">
        <f>+'2H filtrado'!D492</f>
        <v>0</v>
      </c>
      <c r="C521" s="5">
        <f>+'2H filtrado'!N492</f>
        <v>0</v>
      </c>
      <c r="D521" s="5">
        <f t="shared" si="9"/>
        <v>-206.99945682995201</v>
      </c>
    </row>
    <row r="522" spans="1:4">
      <c r="A522" s="2">
        <f>+'2H filtrado'!C493</f>
        <v>0</v>
      </c>
      <c r="B522" s="2">
        <f>+'2H filtrado'!D493</f>
        <v>0</v>
      </c>
      <c r="C522" s="5">
        <f>+'2H filtrado'!N493</f>
        <v>0</v>
      </c>
      <c r="D522" s="5">
        <f t="shared" si="9"/>
        <v>-206.99945682995201</v>
      </c>
    </row>
    <row r="523" spans="1:4">
      <c r="A523" s="2">
        <f>+'2H filtrado'!C494</f>
        <v>0</v>
      </c>
      <c r="B523" s="2">
        <f>+'2H filtrado'!D494</f>
        <v>0</v>
      </c>
      <c r="C523" s="5">
        <f>+'2H filtrado'!N494</f>
        <v>0</v>
      </c>
      <c r="D523" s="5">
        <f t="shared" si="9"/>
        <v>-206.99945682995201</v>
      </c>
    </row>
    <row r="524" spans="1:4">
      <c r="A524" s="2">
        <f>+'2H filtrado'!C495</f>
        <v>0</v>
      </c>
      <c r="B524" s="2">
        <f>+'2H filtrado'!D495</f>
        <v>0</v>
      </c>
      <c r="C524" s="5">
        <f>+'2H filtrado'!N495</f>
        <v>0</v>
      </c>
      <c r="D524" s="5">
        <f t="shared" si="9"/>
        <v>-206.99945682995201</v>
      </c>
    </row>
    <row r="525" spans="1:4">
      <c r="A525" s="2">
        <f>+'2H filtrado'!C496</f>
        <v>0</v>
      </c>
      <c r="B525" s="2">
        <f>+'2H filtrado'!D496</f>
        <v>0</v>
      </c>
      <c r="C525" s="5">
        <f>+'2H filtrado'!N496</f>
        <v>0</v>
      </c>
      <c r="D525" s="5">
        <f t="shared" si="9"/>
        <v>-206.99945682995201</v>
      </c>
    </row>
    <row r="526" spans="1:4">
      <c r="A526" s="2">
        <f>+'2H filtrado'!C497</f>
        <v>0</v>
      </c>
      <c r="B526" s="2">
        <f>+'2H filtrado'!D497</f>
        <v>0</v>
      </c>
      <c r="C526" s="5">
        <f>+'2H filtrado'!N497</f>
        <v>0</v>
      </c>
      <c r="D526" s="5">
        <f t="shared" si="9"/>
        <v>-206.99945682995201</v>
      </c>
    </row>
    <row r="527" spans="1:4">
      <c r="A527" s="2">
        <f>+'2H filtrado'!C498</f>
        <v>0</v>
      </c>
      <c r="B527" s="2">
        <f>+'2H filtrado'!D498</f>
        <v>0</v>
      </c>
      <c r="C527" s="5">
        <f>+'2H filtrado'!N498</f>
        <v>0</v>
      </c>
      <c r="D527" s="5">
        <f t="shared" si="9"/>
        <v>-206.99945682995201</v>
      </c>
    </row>
    <row r="528" spans="1:4">
      <c r="A528" s="2">
        <f>+'2H filtrado'!C499</f>
        <v>0</v>
      </c>
      <c r="B528" s="2">
        <f>+'2H filtrado'!D499</f>
        <v>0</v>
      </c>
      <c r="C528" s="5">
        <f>+'2H filtrado'!N499</f>
        <v>0</v>
      </c>
      <c r="D528" s="5">
        <f t="shared" si="9"/>
        <v>-206.99945682995201</v>
      </c>
    </row>
    <row r="529" spans="1:4">
      <c r="A529" s="2">
        <f>+'2H filtrado'!C500</f>
        <v>0</v>
      </c>
      <c r="B529" s="2">
        <f>+'2H filtrado'!D500</f>
        <v>0</v>
      </c>
      <c r="C529" s="5">
        <f>+'2H filtrado'!N500</f>
        <v>0</v>
      </c>
      <c r="D529" s="5">
        <f t="shared" si="9"/>
        <v>-206.99945682995201</v>
      </c>
    </row>
    <row r="530" spans="1:4">
      <c r="A530" s="2">
        <f>+'2H filtrado'!C501</f>
        <v>0</v>
      </c>
      <c r="B530" s="2">
        <f>+'2H filtrado'!D501</f>
        <v>0</v>
      </c>
      <c r="C530" s="5">
        <f>+'2H filtrado'!N501</f>
        <v>0</v>
      </c>
      <c r="D530" s="5">
        <f t="shared" si="9"/>
        <v>-206.99945682995201</v>
      </c>
    </row>
    <row r="531" spans="1:4">
      <c r="A531" s="2">
        <f>+'2H filtrado'!C502</f>
        <v>0</v>
      </c>
      <c r="B531" s="2">
        <f>+'2H filtrado'!D502</f>
        <v>0</v>
      </c>
      <c r="C531" s="5">
        <f>+'2H filtrado'!N502</f>
        <v>0</v>
      </c>
      <c r="D531" s="5">
        <f t="shared" si="9"/>
        <v>-206.99945682995201</v>
      </c>
    </row>
    <row r="532" spans="1:4">
      <c r="A532" s="2">
        <f>+'2H filtrado'!C503</f>
        <v>0</v>
      </c>
      <c r="B532" s="2">
        <f>+'2H filtrado'!D503</f>
        <v>0</v>
      </c>
      <c r="C532" s="5">
        <f>+'2H filtrado'!N503</f>
        <v>0</v>
      </c>
      <c r="D532" s="5">
        <f t="shared" si="9"/>
        <v>-206.99945682995201</v>
      </c>
    </row>
    <row r="533" spans="1:4">
      <c r="A533" s="2">
        <f>+'2H filtrado'!C504</f>
        <v>0</v>
      </c>
      <c r="B533" s="2">
        <f>+'2H filtrado'!D504</f>
        <v>0</v>
      </c>
      <c r="C533" s="5">
        <f>+'2H filtrado'!N504</f>
        <v>0</v>
      </c>
      <c r="D533" s="5">
        <f t="shared" si="9"/>
        <v>-206.99945682995201</v>
      </c>
    </row>
    <row r="534" spans="1:4">
      <c r="A534" s="2">
        <f>+'2H filtrado'!C505</f>
        <v>0</v>
      </c>
      <c r="B534" s="2">
        <f>+'2H filtrado'!D505</f>
        <v>0</v>
      </c>
      <c r="C534" s="5">
        <f>+'2H filtrado'!N505</f>
        <v>0</v>
      </c>
      <c r="D534" s="5">
        <f t="shared" si="9"/>
        <v>-206.99945682995201</v>
      </c>
    </row>
    <row r="535" spans="1:4">
      <c r="A535" s="2">
        <f>+'2H filtrado'!C506</f>
        <v>0</v>
      </c>
      <c r="B535" s="2">
        <f>+'2H filtrado'!D506</f>
        <v>0</v>
      </c>
      <c r="C535" s="5">
        <f>+'2H filtrado'!N506</f>
        <v>0</v>
      </c>
      <c r="D535" s="5">
        <f t="shared" si="9"/>
        <v>-206.99945682995201</v>
      </c>
    </row>
    <row r="536" spans="1:4">
      <c r="A536" s="2">
        <f>+'2H filtrado'!C507</f>
        <v>0</v>
      </c>
      <c r="B536" s="2">
        <f>+'2H filtrado'!D507</f>
        <v>0</v>
      </c>
      <c r="C536" s="5">
        <f>+'2H filtrado'!N507</f>
        <v>0</v>
      </c>
      <c r="D536" s="5">
        <f t="shared" si="9"/>
        <v>-206.99945682995201</v>
      </c>
    </row>
    <row r="537" spans="1:4">
      <c r="A537" s="2">
        <f>+'2H filtrado'!C508</f>
        <v>0</v>
      </c>
      <c r="B537" s="2">
        <f>+'2H filtrado'!D508</f>
        <v>0</v>
      </c>
      <c r="C537" s="5">
        <f>+'2H filtrado'!N508</f>
        <v>0</v>
      </c>
      <c r="D537" s="5">
        <f t="shared" si="9"/>
        <v>-206.99945682995201</v>
      </c>
    </row>
    <row r="538" spans="1:4">
      <c r="A538" s="2">
        <f>+'2H filtrado'!C509</f>
        <v>0</v>
      </c>
      <c r="B538" s="2">
        <f>+'2H filtrado'!D509</f>
        <v>0</v>
      </c>
      <c r="C538" s="5">
        <f>+'2H filtrado'!N509</f>
        <v>0</v>
      </c>
      <c r="D538" s="5">
        <f t="shared" si="9"/>
        <v>-206.99945682995201</v>
      </c>
    </row>
    <row r="539" spans="1:4">
      <c r="A539" s="2">
        <f>+'2H filtrado'!C510</f>
        <v>0</v>
      </c>
      <c r="B539" s="2">
        <f>+'2H filtrado'!D510</f>
        <v>0</v>
      </c>
      <c r="C539" s="5">
        <f>+'2H filtrado'!N510</f>
        <v>0</v>
      </c>
      <c r="D539" s="5">
        <f t="shared" si="9"/>
        <v>-206.99945682995201</v>
      </c>
    </row>
    <row r="540" spans="1:4">
      <c r="A540" s="2">
        <f>+'2H filtrado'!C511</f>
        <v>0</v>
      </c>
      <c r="B540" s="2">
        <f>+'2H filtrado'!D511</f>
        <v>0</v>
      </c>
      <c r="C540" s="5">
        <f>+'2H filtrado'!N511</f>
        <v>0</v>
      </c>
      <c r="D540" s="5">
        <f t="shared" si="9"/>
        <v>-206.99945682995201</v>
      </c>
    </row>
    <row r="541" spans="1:4">
      <c r="A541" s="2">
        <f>+'2H filtrado'!C512</f>
        <v>0</v>
      </c>
      <c r="B541" s="2">
        <f>+'2H filtrado'!D512</f>
        <v>0</v>
      </c>
      <c r="C541" s="5">
        <f>+'2H filtrado'!N512</f>
        <v>0</v>
      </c>
      <c r="D541" s="5">
        <f t="shared" si="9"/>
        <v>-206.99945682995201</v>
      </c>
    </row>
    <row r="542" spans="1:4">
      <c r="A542" s="2">
        <f>+'2H filtrado'!C513</f>
        <v>0</v>
      </c>
      <c r="B542" s="2">
        <f>+'2H filtrado'!D513</f>
        <v>0</v>
      </c>
      <c r="C542" s="5">
        <f>+'2H filtrado'!N513</f>
        <v>0</v>
      </c>
      <c r="D542" s="5">
        <f t="shared" si="9"/>
        <v>-206.99945682995201</v>
      </c>
    </row>
    <row r="543" spans="1:4">
      <c r="A543" s="2">
        <f>+'2H filtrado'!C514</f>
        <v>0</v>
      </c>
      <c r="B543" s="2">
        <f>+'2H filtrado'!D514</f>
        <v>0</v>
      </c>
      <c r="C543" s="5">
        <f>+'2H filtrado'!N514</f>
        <v>0</v>
      </c>
      <c r="D543" s="5">
        <f t="shared" si="9"/>
        <v>-206.99945682995201</v>
      </c>
    </row>
    <row r="544" spans="1:4">
      <c r="A544" s="2">
        <f>+'2H filtrado'!C515</f>
        <v>0</v>
      </c>
      <c r="B544" s="2">
        <f>+'2H filtrado'!D515</f>
        <v>0</v>
      </c>
      <c r="C544" s="5">
        <f>+'2H filtrado'!N515</f>
        <v>0</v>
      </c>
      <c r="D544" s="5">
        <f t="shared" ref="D544:D607" si="10">+(C544-$N$22)/$N$21</f>
        <v>-206.99945682995201</v>
      </c>
    </row>
    <row r="545" spans="1:4">
      <c r="A545" s="2">
        <f>+'2H filtrado'!C516</f>
        <v>0</v>
      </c>
      <c r="B545" s="2">
        <f>+'2H filtrado'!D516</f>
        <v>0</v>
      </c>
      <c r="C545" s="5">
        <f>+'2H filtrado'!N516</f>
        <v>0</v>
      </c>
      <c r="D545" s="5">
        <f t="shared" si="10"/>
        <v>-206.99945682995201</v>
      </c>
    </row>
    <row r="546" spans="1:4">
      <c r="A546" s="2">
        <f>+'2H filtrado'!C517</f>
        <v>0</v>
      </c>
      <c r="B546" s="2">
        <f>+'2H filtrado'!D517</f>
        <v>0</v>
      </c>
      <c r="C546" s="5">
        <f>+'2H filtrado'!N517</f>
        <v>0</v>
      </c>
      <c r="D546" s="5">
        <f t="shared" si="10"/>
        <v>-206.99945682995201</v>
      </c>
    </row>
    <row r="547" spans="1:4">
      <c r="A547" s="2">
        <f>+'2H filtrado'!C518</f>
        <v>0</v>
      </c>
      <c r="B547" s="2">
        <f>+'2H filtrado'!D518</f>
        <v>0</v>
      </c>
      <c r="C547" s="5">
        <f>+'2H filtrado'!N518</f>
        <v>0</v>
      </c>
      <c r="D547" s="5">
        <f t="shared" si="10"/>
        <v>-206.99945682995201</v>
      </c>
    </row>
    <row r="548" spans="1:4">
      <c r="A548" s="2">
        <f>+'2H filtrado'!C519</f>
        <v>0</v>
      </c>
      <c r="B548" s="2">
        <f>+'2H filtrado'!D519</f>
        <v>0</v>
      </c>
      <c r="C548" s="5">
        <f>+'2H filtrado'!N519</f>
        <v>0</v>
      </c>
      <c r="D548" s="5">
        <f t="shared" si="10"/>
        <v>-206.99945682995201</v>
      </c>
    </row>
    <row r="549" spans="1:4">
      <c r="A549" s="2">
        <f>+'2H filtrado'!C520</f>
        <v>0</v>
      </c>
      <c r="B549" s="2">
        <f>+'2H filtrado'!D520</f>
        <v>0</v>
      </c>
      <c r="C549" s="5">
        <f>+'2H filtrado'!N520</f>
        <v>0</v>
      </c>
      <c r="D549" s="5">
        <f t="shared" si="10"/>
        <v>-206.99945682995201</v>
      </c>
    </row>
    <row r="550" spans="1:4">
      <c r="A550" s="2">
        <f>+'2H filtrado'!C521</f>
        <v>0</v>
      </c>
      <c r="B550" s="2">
        <f>+'2H filtrado'!D521</f>
        <v>0</v>
      </c>
      <c r="C550" s="5">
        <f>+'2H filtrado'!N521</f>
        <v>0</v>
      </c>
      <c r="D550" s="5">
        <f t="shared" si="10"/>
        <v>-206.99945682995201</v>
      </c>
    </row>
    <row r="551" spans="1:4">
      <c r="A551" s="2">
        <f>+'2H filtrado'!C522</f>
        <v>0</v>
      </c>
      <c r="B551" s="2">
        <f>+'2H filtrado'!D522</f>
        <v>0</v>
      </c>
      <c r="C551" s="5">
        <f>+'2H filtrado'!N522</f>
        <v>0</v>
      </c>
      <c r="D551" s="5">
        <f t="shared" si="10"/>
        <v>-206.99945682995201</v>
      </c>
    </row>
    <row r="552" spans="1:4">
      <c r="A552" s="2">
        <f>+'2H filtrado'!C523</f>
        <v>0</v>
      </c>
      <c r="B552" s="2">
        <f>+'2H filtrado'!D523</f>
        <v>0</v>
      </c>
      <c r="C552" s="5">
        <f>+'2H filtrado'!N523</f>
        <v>0</v>
      </c>
      <c r="D552" s="5">
        <f t="shared" si="10"/>
        <v>-206.99945682995201</v>
      </c>
    </row>
    <row r="553" spans="1:4">
      <c r="A553" s="2">
        <f>+'2H filtrado'!C524</f>
        <v>0</v>
      </c>
      <c r="B553" s="2">
        <f>+'2H filtrado'!D524</f>
        <v>0</v>
      </c>
      <c r="C553" s="5">
        <f>+'2H filtrado'!N524</f>
        <v>0</v>
      </c>
      <c r="D553" s="5">
        <f t="shared" si="10"/>
        <v>-206.99945682995201</v>
      </c>
    </row>
    <row r="554" spans="1:4">
      <c r="A554" s="2">
        <f>+'2H filtrado'!C525</f>
        <v>0</v>
      </c>
      <c r="B554" s="2">
        <f>+'2H filtrado'!D525</f>
        <v>0</v>
      </c>
      <c r="C554" s="5">
        <f>+'2H filtrado'!N525</f>
        <v>0</v>
      </c>
      <c r="D554" s="5">
        <f t="shared" si="10"/>
        <v>-206.99945682995201</v>
      </c>
    </row>
    <row r="555" spans="1:4">
      <c r="A555" s="2">
        <f>+'2H filtrado'!C526</f>
        <v>0</v>
      </c>
      <c r="B555" s="2">
        <f>+'2H filtrado'!D526</f>
        <v>0</v>
      </c>
      <c r="C555" s="5">
        <f>+'2H filtrado'!N526</f>
        <v>0</v>
      </c>
      <c r="D555" s="5">
        <f t="shared" si="10"/>
        <v>-206.99945682995201</v>
      </c>
    </row>
    <row r="556" spans="1:4">
      <c r="A556" s="2">
        <f>+'2H filtrado'!C527</f>
        <v>0</v>
      </c>
      <c r="B556" s="2">
        <f>+'2H filtrado'!D527</f>
        <v>0</v>
      </c>
      <c r="C556" s="5">
        <f>+'2H filtrado'!N527</f>
        <v>0</v>
      </c>
      <c r="D556" s="5">
        <f t="shared" si="10"/>
        <v>-206.99945682995201</v>
      </c>
    </row>
    <row r="557" spans="1:4">
      <c r="A557" s="2">
        <f>+'2H filtrado'!C528</f>
        <v>0</v>
      </c>
      <c r="B557" s="2">
        <f>+'2H filtrado'!D528</f>
        <v>0</v>
      </c>
      <c r="C557" s="5">
        <f>+'2H filtrado'!N528</f>
        <v>0</v>
      </c>
      <c r="D557" s="5">
        <f t="shared" si="10"/>
        <v>-206.99945682995201</v>
      </c>
    </row>
    <row r="558" spans="1:4">
      <c r="A558" s="2">
        <f>+'2H filtrado'!C529</f>
        <v>0</v>
      </c>
      <c r="B558" s="2">
        <f>+'2H filtrado'!D529</f>
        <v>0</v>
      </c>
      <c r="C558" s="5">
        <f>+'2H filtrado'!N529</f>
        <v>0</v>
      </c>
      <c r="D558" s="5">
        <f t="shared" si="10"/>
        <v>-206.99945682995201</v>
      </c>
    </row>
    <row r="559" spans="1:4">
      <c r="A559" s="2">
        <f>+'2H filtrado'!C530</f>
        <v>0</v>
      </c>
      <c r="B559" s="2">
        <f>+'2H filtrado'!D530</f>
        <v>0</v>
      </c>
      <c r="C559" s="5">
        <f>+'2H filtrado'!N530</f>
        <v>0</v>
      </c>
      <c r="D559" s="5">
        <f t="shared" si="10"/>
        <v>-206.99945682995201</v>
      </c>
    </row>
    <row r="560" spans="1:4">
      <c r="A560" s="2">
        <f>+'2H filtrado'!C531</f>
        <v>0</v>
      </c>
      <c r="B560" s="2">
        <f>+'2H filtrado'!D531</f>
        <v>0</v>
      </c>
      <c r="C560" s="5">
        <f>+'2H filtrado'!N531</f>
        <v>0</v>
      </c>
      <c r="D560" s="5">
        <f t="shared" si="10"/>
        <v>-206.99945682995201</v>
      </c>
    </row>
    <row r="561" spans="1:4">
      <c r="A561" s="2">
        <f>+'2H filtrado'!C532</f>
        <v>0</v>
      </c>
      <c r="B561" s="2">
        <f>+'2H filtrado'!D532</f>
        <v>0</v>
      </c>
      <c r="C561" s="5">
        <f>+'2H filtrado'!N532</f>
        <v>0</v>
      </c>
      <c r="D561" s="5">
        <f t="shared" si="10"/>
        <v>-206.99945682995201</v>
      </c>
    </row>
    <row r="562" spans="1:4">
      <c r="A562" s="2">
        <f>+'2H filtrado'!C533</f>
        <v>0</v>
      </c>
      <c r="B562" s="2">
        <f>+'2H filtrado'!D533</f>
        <v>0</v>
      </c>
      <c r="C562" s="5">
        <f>+'2H filtrado'!N533</f>
        <v>0</v>
      </c>
      <c r="D562" s="5">
        <f t="shared" si="10"/>
        <v>-206.99945682995201</v>
      </c>
    </row>
    <row r="563" spans="1:4">
      <c r="A563" s="2">
        <f>+'2H filtrado'!C534</f>
        <v>0</v>
      </c>
      <c r="B563" s="2">
        <f>+'2H filtrado'!D534</f>
        <v>0</v>
      </c>
      <c r="C563" s="5">
        <f>+'2H filtrado'!N534</f>
        <v>0</v>
      </c>
      <c r="D563" s="5">
        <f t="shared" si="10"/>
        <v>-206.99945682995201</v>
      </c>
    </row>
    <row r="564" spans="1:4">
      <c r="A564" s="2">
        <f>+'2H filtrado'!C535</f>
        <v>0</v>
      </c>
      <c r="B564" s="2">
        <f>+'2H filtrado'!D535</f>
        <v>0</v>
      </c>
      <c r="C564" s="5">
        <f>+'2H filtrado'!N535</f>
        <v>0</v>
      </c>
      <c r="D564" s="5">
        <f t="shared" si="10"/>
        <v>-206.99945682995201</v>
      </c>
    </row>
    <row r="565" spans="1:4">
      <c r="A565" s="2">
        <f>+'2H filtrado'!C536</f>
        <v>0</v>
      </c>
      <c r="B565" s="2">
        <f>+'2H filtrado'!D536</f>
        <v>0</v>
      </c>
      <c r="C565" s="5">
        <f>+'2H filtrado'!N536</f>
        <v>0</v>
      </c>
      <c r="D565" s="5">
        <f t="shared" si="10"/>
        <v>-206.99945682995201</v>
      </c>
    </row>
    <row r="566" spans="1:4">
      <c r="A566" s="2">
        <f>+'2H filtrado'!C537</f>
        <v>0</v>
      </c>
      <c r="B566" s="2">
        <f>+'2H filtrado'!D537</f>
        <v>0</v>
      </c>
      <c r="C566" s="5">
        <f>+'2H filtrado'!N537</f>
        <v>0</v>
      </c>
      <c r="D566" s="5">
        <f t="shared" si="10"/>
        <v>-206.99945682995201</v>
      </c>
    </row>
    <row r="567" spans="1:4">
      <c r="A567" s="2">
        <f>+'2H filtrado'!C538</f>
        <v>0</v>
      </c>
      <c r="B567" s="2">
        <f>+'2H filtrado'!D538</f>
        <v>0</v>
      </c>
      <c r="C567" s="5">
        <f>+'2H filtrado'!N538</f>
        <v>0</v>
      </c>
      <c r="D567" s="5">
        <f t="shared" si="10"/>
        <v>-206.99945682995201</v>
      </c>
    </row>
    <row r="568" spans="1:4">
      <c r="A568" s="2">
        <f>+'2H filtrado'!C539</f>
        <v>0</v>
      </c>
      <c r="B568" s="2">
        <f>+'2H filtrado'!D539</f>
        <v>0</v>
      </c>
      <c r="C568" s="5">
        <f>+'2H filtrado'!N539</f>
        <v>0</v>
      </c>
      <c r="D568" s="5">
        <f t="shared" si="10"/>
        <v>-206.99945682995201</v>
      </c>
    </row>
    <row r="569" spans="1:4">
      <c r="A569" s="2">
        <f>+'2H filtrado'!C540</f>
        <v>0</v>
      </c>
      <c r="B569" s="2">
        <f>+'2H filtrado'!D540</f>
        <v>0</v>
      </c>
      <c r="C569" s="5">
        <f>+'2H filtrado'!N540</f>
        <v>0</v>
      </c>
      <c r="D569" s="5">
        <f t="shared" si="10"/>
        <v>-206.99945682995201</v>
      </c>
    </row>
    <row r="570" spans="1:4">
      <c r="A570" s="2">
        <f>+'2H filtrado'!C541</f>
        <v>0</v>
      </c>
      <c r="B570" s="2">
        <f>+'2H filtrado'!D541</f>
        <v>0</v>
      </c>
      <c r="C570" s="5">
        <f>+'2H filtrado'!N541</f>
        <v>0</v>
      </c>
      <c r="D570" s="5">
        <f t="shared" si="10"/>
        <v>-206.99945682995201</v>
      </c>
    </row>
    <row r="571" spans="1:4">
      <c r="A571" s="2">
        <f>+'2H filtrado'!C542</f>
        <v>0</v>
      </c>
      <c r="B571" s="2">
        <f>+'2H filtrado'!D542</f>
        <v>0</v>
      </c>
      <c r="C571" s="5">
        <f>+'2H filtrado'!N542</f>
        <v>0</v>
      </c>
      <c r="D571" s="5">
        <f t="shared" si="10"/>
        <v>-206.99945682995201</v>
      </c>
    </row>
    <row r="572" spans="1:4">
      <c r="A572" s="2">
        <f>+'2H filtrado'!C543</f>
        <v>0</v>
      </c>
      <c r="B572" s="2">
        <f>+'2H filtrado'!D543</f>
        <v>0</v>
      </c>
      <c r="C572" s="5">
        <f>+'2H filtrado'!N543</f>
        <v>0</v>
      </c>
      <c r="D572" s="5">
        <f t="shared" si="10"/>
        <v>-206.99945682995201</v>
      </c>
    </row>
    <row r="573" spans="1:4">
      <c r="A573" s="2">
        <f>+'2H filtrado'!C544</f>
        <v>0</v>
      </c>
      <c r="B573" s="2">
        <f>+'2H filtrado'!D544</f>
        <v>0</v>
      </c>
      <c r="C573" s="5">
        <f>+'2H filtrado'!N544</f>
        <v>0</v>
      </c>
      <c r="D573" s="5">
        <f t="shared" si="10"/>
        <v>-206.99945682995201</v>
      </c>
    </row>
    <row r="574" spans="1:4">
      <c r="A574" s="2">
        <f>+'2H filtrado'!C545</f>
        <v>0</v>
      </c>
      <c r="B574" s="2">
        <f>+'2H filtrado'!D545</f>
        <v>0</v>
      </c>
      <c r="C574" s="5">
        <f>+'2H filtrado'!N545</f>
        <v>0</v>
      </c>
      <c r="D574" s="5">
        <f t="shared" si="10"/>
        <v>-206.99945682995201</v>
      </c>
    </row>
    <row r="575" spans="1:4">
      <c r="A575" s="2">
        <f>+'2H filtrado'!C546</f>
        <v>0</v>
      </c>
      <c r="B575" s="2">
        <f>+'2H filtrado'!D546</f>
        <v>0</v>
      </c>
      <c r="C575" s="5">
        <f>+'2H filtrado'!N546</f>
        <v>0</v>
      </c>
      <c r="D575" s="5">
        <f t="shared" si="10"/>
        <v>-206.99945682995201</v>
      </c>
    </row>
    <row r="576" spans="1:4">
      <c r="A576" s="2">
        <f>+'2H filtrado'!C547</f>
        <v>0</v>
      </c>
      <c r="B576" s="2">
        <f>+'2H filtrado'!D547</f>
        <v>0</v>
      </c>
      <c r="C576" s="5">
        <f>+'2H filtrado'!N547</f>
        <v>0</v>
      </c>
      <c r="D576" s="5">
        <f t="shared" si="10"/>
        <v>-206.99945682995201</v>
      </c>
    </row>
    <row r="577" spans="1:4">
      <c r="A577" s="2">
        <f>+'2H filtrado'!C548</f>
        <v>0</v>
      </c>
      <c r="B577" s="2">
        <f>+'2H filtrado'!D548</f>
        <v>0</v>
      </c>
      <c r="C577" s="5">
        <f>+'2H filtrado'!N548</f>
        <v>0</v>
      </c>
      <c r="D577" s="5">
        <f t="shared" si="10"/>
        <v>-206.99945682995201</v>
      </c>
    </row>
    <row r="578" spans="1:4">
      <c r="A578" s="2">
        <f>+'2H filtrado'!C549</f>
        <v>0</v>
      </c>
      <c r="B578" s="2">
        <f>+'2H filtrado'!D549</f>
        <v>0</v>
      </c>
      <c r="C578" s="5">
        <f>+'2H filtrado'!N549</f>
        <v>0</v>
      </c>
      <c r="D578" s="5">
        <f t="shared" si="10"/>
        <v>-206.99945682995201</v>
      </c>
    </row>
    <row r="579" spans="1:4">
      <c r="A579" s="2">
        <f>+'2H filtrado'!C550</f>
        <v>0</v>
      </c>
      <c r="B579" s="2">
        <f>+'2H filtrado'!D550</f>
        <v>0</v>
      </c>
      <c r="C579" s="5">
        <f>+'2H filtrado'!N550</f>
        <v>0</v>
      </c>
      <c r="D579" s="5">
        <f t="shared" si="10"/>
        <v>-206.99945682995201</v>
      </c>
    </row>
    <row r="580" spans="1:4">
      <c r="A580" s="2">
        <f>+'2H filtrado'!C551</f>
        <v>0</v>
      </c>
      <c r="B580" s="2">
        <f>+'2H filtrado'!D551</f>
        <v>0</v>
      </c>
      <c r="C580" s="5">
        <f>+'2H filtrado'!N551</f>
        <v>0</v>
      </c>
      <c r="D580" s="5">
        <f t="shared" si="10"/>
        <v>-206.99945682995201</v>
      </c>
    </row>
    <row r="581" spans="1:4">
      <c r="A581" s="2">
        <f>+'2H filtrado'!C552</f>
        <v>0</v>
      </c>
      <c r="B581" s="2">
        <f>+'2H filtrado'!D552</f>
        <v>0</v>
      </c>
      <c r="C581" s="5">
        <f>+'2H filtrado'!N552</f>
        <v>0</v>
      </c>
      <c r="D581" s="5">
        <f t="shared" si="10"/>
        <v>-206.99945682995201</v>
      </c>
    </row>
    <row r="582" spans="1:4">
      <c r="A582" s="2">
        <f>+'2H filtrado'!C553</f>
        <v>0</v>
      </c>
      <c r="B582" s="2">
        <f>+'2H filtrado'!D553</f>
        <v>0</v>
      </c>
      <c r="C582" s="5">
        <f>+'2H filtrado'!N553</f>
        <v>0</v>
      </c>
      <c r="D582" s="5">
        <f t="shared" si="10"/>
        <v>-206.99945682995201</v>
      </c>
    </row>
    <row r="583" spans="1:4">
      <c r="A583" s="2">
        <f>+'2H filtrado'!C554</f>
        <v>0</v>
      </c>
      <c r="B583" s="2">
        <f>+'2H filtrado'!D554</f>
        <v>0</v>
      </c>
      <c r="C583" s="5">
        <f>+'2H filtrado'!N554</f>
        <v>0</v>
      </c>
      <c r="D583" s="5">
        <f t="shared" si="10"/>
        <v>-206.99945682995201</v>
      </c>
    </row>
    <row r="584" spans="1:4">
      <c r="A584" s="2">
        <f>+'2H filtrado'!C555</f>
        <v>0</v>
      </c>
      <c r="B584" s="2">
        <f>+'2H filtrado'!D555</f>
        <v>0</v>
      </c>
      <c r="C584" s="5">
        <f>+'2H filtrado'!N555</f>
        <v>0</v>
      </c>
      <c r="D584" s="5">
        <f t="shared" si="10"/>
        <v>-206.99945682995201</v>
      </c>
    </row>
    <row r="585" spans="1:4">
      <c r="A585" s="2">
        <f>+'2H filtrado'!C556</f>
        <v>0</v>
      </c>
      <c r="B585" s="2">
        <f>+'2H filtrado'!D556</f>
        <v>0</v>
      </c>
      <c r="C585" s="5">
        <f>+'2H filtrado'!N556</f>
        <v>0</v>
      </c>
      <c r="D585" s="5">
        <f t="shared" si="10"/>
        <v>-206.99945682995201</v>
      </c>
    </row>
    <row r="586" spans="1:4">
      <c r="A586" s="2">
        <f>+'2H filtrado'!C557</f>
        <v>0</v>
      </c>
      <c r="B586" s="2">
        <f>+'2H filtrado'!D557</f>
        <v>0</v>
      </c>
      <c r="C586" s="5">
        <f>+'2H filtrado'!N557</f>
        <v>0</v>
      </c>
      <c r="D586" s="5">
        <f t="shared" si="10"/>
        <v>-206.99945682995201</v>
      </c>
    </row>
    <row r="587" spans="1:4">
      <c r="A587" s="2">
        <f>+'2H filtrado'!C558</f>
        <v>0</v>
      </c>
      <c r="B587" s="2">
        <f>+'2H filtrado'!D558</f>
        <v>0</v>
      </c>
      <c r="C587" s="5">
        <f>+'2H filtrado'!N558</f>
        <v>0</v>
      </c>
      <c r="D587" s="5">
        <f t="shared" si="10"/>
        <v>-206.99945682995201</v>
      </c>
    </row>
    <row r="588" spans="1:4">
      <c r="A588" s="2">
        <f>+'2H filtrado'!C559</f>
        <v>0</v>
      </c>
      <c r="B588" s="2">
        <f>+'2H filtrado'!D559</f>
        <v>0</v>
      </c>
      <c r="C588" s="5">
        <f>+'2H filtrado'!N559</f>
        <v>0</v>
      </c>
      <c r="D588" s="5">
        <f t="shared" si="10"/>
        <v>-206.99945682995201</v>
      </c>
    </row>
    <row r="589" spans="1:4">
      <c r="A589" s="2">
        <f>+'2H filtrado'!C560</f>
        <v>0</v>
      </c>
      <c r="B589" s="2">
        <f>+'2H filtrado'!D560</f>
        <v>0</v>
      </c>
      <c r="C589" s="5">
        <f>+'2H filtrado'!N560</f>
        <v>0</v>
      </c>
      <c r="D589" s="5">
        <f t="shared" si="10"/>
        <v>-206.99945682995201</v>
      </c>
    </row>
    <row r="590" spans="1:4">
      <c r="A590" s="2">
        <f>+'2H filtrado'!C561</f>
        <v>0</v>
      </c>
      <c r="B590" s="2">
        <f>+'2H filtrado'!D561</f>
        <v>0</v>
      </c>
      <c r="C590" s="5">
        <f>+'2H filtrado'!N561</f>
        <v>0</v>
      </c>
      <c r="D590" s="5">
        <f t="shared" si="10"/>
        <v>-206.99945682995201</v>
      </c>
    </row>
    <row r="591" spans="1:4">
      <c r="A591" s="2">
        <f>+'2H filtrado'!C562</f>
        <v>0</v>
      </c>
      <c r="B591" s="2">
        <f>+'2H filtrado'!D562</f>
        <v>0</v>
      </c>
      <c r="C591" s="5">
        <f>+'2H filtrado'!N562</f>
        <v>0</v>
      </c>
      <c r="D591" s="5">
        <f t="shared" si="10"/>
        <v>-206.99945682995201</v>
      </c>
    </row>
    <row r="592" spans="1:4">
      <c r="A592" s="2">
        <f>+'2H filtrado'!C563</f>
        <v>0</v>
      </c>
      <c r="B592" s="2">
        <f>+'2H filtrado'!D563</f>
        <v>0</v>
      </c>
      <c r="C592" s="5">
        <f>+'2H filtrado'!N563</f>
        <v>0</v>
      </c>
      <c r="D592" s="5">
        <f t="shared" si="10"/>
        <v>-206.99945682995201</v>
      </c>
    </row>
    <row r="593" spans="1:4">
      <c r="A593" s="2">
        <f>+'2H filtrado'!C564</f>
        <v>0</v>
      </c>
      <c r="B593" s="2">
        <f>+'2H filtrado'!D564</f>
        <v>0</v>
      </c>
      <c r="C593" s="5">
        <f>+'2H filtrado'!N564</f>
        <v>0</v>
      </c>
      <c r="D593" s="5">
        <f t="shared" si="10"/>
        <v>-206.99945682995201</v>
      </c>
    </row>
    <row r="594" spans="1:4">
      <c r="A594" s="2">
        <f>+'2H filtrado'!C565</f>
        <v>0</v>
      </c>
      <c r="B594" s="2">
        <f>+'2H filtrado'!D565</f>
        <v>0</v>
      </c>
      <c r="C594" s="5">
        <f>+'2H filtrado'!N565</f>
        <v>0</v>
      </c>
      <c r="D594" s="5">
        <f t="shared" si="10"/>
        <v>-206.99945682995201</v>
      </c>
    </row>
    <row r="595" spans="1:4">
      <c r="A595" s="2">
        <f>+'2H filtrado'!C566</f>
        <v>0</v>
      </c>
      <c r="B595" s="2">
        <f>+'2H filtrado'!D566</f>
        <v>0</v>
      </c>
      <c r="C595" s="5">
        <f>+'2H filtrado'!N566</f>
        <v>0</v>
      </c>
      <c r="D595" s="5">
        <f t="shared" si="10"/>
        <v>-206.99945682995201</v>
      </c>
    </row>
    <row r="596" spans="1:4">
      <c r="A596" s="2">
        <f>+'2H filtrado'!C567</f>
        <v>0</v>
      </c>
      <c r="B596" s="2">
        <f>+'2H filtrado'!D567</f>
        <v>0</v>
      </c>
      <c r="C596" s="5">
        <f>+'2H filtrado'!N567</f>
        <v>0</v>
      </c>
      <c r="D596" s="5">
        <f t="shared" si="10"/>
        <v>-206.99945682995201</v>
      </c>
    </row>
    <row r="597" spans="1:4">
      <c r="A597" s="2">
        <f>+'2H filtrado'!C568</f>
        <v>0</v>
      </c>
      <c r="B597" s="2">
        <f>+'2H filtrado'!D568</f>
        <v>0</v>
      </c>
      <c r="C597" s="5">
        <f>+'2H filtrado'!N568</f>
        <v>0</v>
      </c>
      <c r="D597" s="5">
        <f t="shared" si="10"/>
        <v>-206.99945682995201</v>
      </c>
    </row>
    <row r="598" spans="1:4">
      <c r="A598" s="2">
        <f>+'2H filtrado'!C569</f>
        <v>0</v>
      </c>
      <c r="B598" s="2">
        <f>+'2H filtrado'!D569</f>
        <v>0</v>
      </c>
      <c r="C598" s="5">
        <f>+'2H filtrado'!N569</f>
        <v>0</v>
      </c>
      <c r="D598" s="5">
        <f t="shared" si="10"/>
        <v>-206.99945682995201</v>
      </c>
    </row>
    <row r="599" spans="1:4">
      <c r="A599" s="2">
        <f>+'2H filtrado'!C570</f>
        <v>0</v>
      </c>
      <c r="B599" s="2">
        <f>+'2H filtrado'!D570</f>
        <v>0</v>
      </c>
      <c r="C599" s="5">
        <f>+'2H filtrado'!N570</f>
        <v>0</v>
      </c>
      <c r="D599" s="5">
        <f t="shared" si="10"/>
        <v>-206.99945682995201</v>
      </c>
    </row>
    <row r="600" spans="1:4">
      <c r="A600" s="2">
        <f>+'2H filtrado'!C571</f>
        <v>0</v>
      </c>
      <c r="B600" s="2">
        <f>+'2H filtrado'!D571</f>
        <v>0</v>
      </c>
      <c r="C600" s="5">
        <f>+'2H filtrado'!N571</f>
        <v>0</v>
      </c>
      <c r="D600" s="5">
        <f t="shared" si="10"/>
        <v>-206.99945682995201</v>
      </c>
    </row>
    <row r="601" spans="1:4">
      <c r="A601" s="2">
        <f>+'2H filtrado'!C572</f>
        <v>0</v>
      </c>
      <c r="B601" s="2">
        <f>+'2H filtrado'!D572</f>
        <v>0</v>
      </c>
      <c r="C601" s="5">
        <f>+'2H filtrado'!N572</f>
        <v>0</v>
      </c>
      <c r="D601" s="5">
        <f t="shared" si="10"/>
        <v>-206.99945682995201</v>
      </c>
    </row>
    <row r="602" spans="1:4">
      <c r="A602" s="2">
        <f>+'2H filtrado'!C573</f>
        <v>0</v>
      </c>
      <c r="B602" s="2">
        <f>+'2H filtrado'!D573</f>
        <v>0</v>
      </c>
      <c r="C602" s="5">
        <f>+'2H filtrado'!N573</f>
        <v>0</v>
      </c>
      <c r="D602" s="5">
        <f t="shared" si="10"/>
        <v>-206.99945682995201</v>
      </c>
    </row>
    <row r="603" spans="1:4">
      <c r="A603" s="2">
        <f>+'2H filtrado'!C574</f>
        <v>0</v>
      </c>
      <c r="B603" s="2">
        <f>+'2H filtrado'!D574</f>
        <v>0</v>
      </c>
      <c r="C603" s="5">
        <f>+'2H filtrado'!N574</f>
        <v>0</v>
      </c>
      <c r="D603" s="5">
        <f t="shared" si="10"/>
        <v>-206.99945682995201</v>
      </c>
    </row>
    <row r="604" spans="1:4">
      <c r="A604" s="2">
        <f>+'2H filtrado'!C575</f>
        <v>0</v>
      </c>
      <c r="B604" s="2">
        <f>+'2H filtrado'!D575</f>
        <v>0</v>
      </c>
      <c r="C604" s="5">
        <f>+'2H filtrado'!N575</f>
        <v>0</v>
      </c>
      <c r="D604" s="5">
        <f t="shared" si="10"/>
        <v>-206.99945682995201</v>
      </c>
    </row>
    <row r="605" spans="1:4">
      <c r="A605" s="2">
        <f>+'2H filtrado'!C576</f>
        <v>0</v>
      </c>
      <c r="B605" s="2">
        <f>+'2H filtrado'!D576</f>
        <v>0</v>
      </c>
      <c r="C605" s="5">
        <f>+'2H filtrado'!N576</f>
        <v>0</v>
      </c>
      <c r="D605" s="5">
        <f t="shared" si="10"/>
        <v>-206.99945682995201</v>
      </c>
    </row>
    <row r="606" spans="1:4">
      <c r="A606" s="2">
        <f>+'2H filtrado'!C577</f>
        <v>0</v>
      </c>
      <c r="B606" s="2">
        <f>+'2H filtrado'!D577</f>
        <v>0</v>
      </c>
      <c r="C606" s="5">
        <f>+'2H filtrado'!N577</f>
        <v>0</v>
      </c>
      <c r="D606" s="5">
        <f t="shared" si="10"/>
        <v>-206.99945682995201</v>
      </c>
    </row>
    <row r="607" spans="1:4">
      <c r="A607" s="2">
        <f>+'2H filtrado'!C578</f>
        <v>0</v>
      </c>
      <c r="B607" s="2">
        <f>+'2H filtrado'!D578</f>
        <v>0</v>
      </c>
      <c r="C607" s="5">
        <f>+'2H filtrado'!N578</f>
        <v>0</v>
      </c>
      <c r="D607" s="5">
        <f t="shared" si="10"/>
        <v>-206.99945682995201</v>
      </c>
    </row>
    <row r="608" spans="1:4">
      <c r="A608" s="2">
        <f>+'2H filtrado'!C579</f>
        <v>0</v>
      </c>
      <c r="B608" s="2">
        <f>+'2H filtrado'!D579</f>
        <v>0</v>
      </c>
      <c r="C608" s="5">
        <f>+'2H filtrado'!N579</f>
        <v>0</v>
      </c>
      <c r="D608" s="5">
        <f t="shared" ref="D608:D671" si="11">+(C608-$N$22)/$N$21</f>
        <v>-206.99945682995201</v>
      </c>
    </row>
    <row r="609" spans="1:4">
      <c r="A609" s="2">
        <f>+'2H filtrado'!C580</f>
        <v>0</v>
      </c>
      <c r="B609" s="2">
        <f>+'2H filtrado'!D580</f>
        <v>0</v>
      </c>
      <c r="C609" s="5">
        <f>+'2H filtrado'!N580</f>
        <v>0</v>
      </c>
      <c r="D609" s="5">
        <f t="shared" si="11"/>
        <v>-206.99945682995201</v>
      </c>
    </row>
    <row r="610" spans="1:4">
      <c r="A610" s="2">
        <f>+'2H filtrado'!C581</f>
        <v>0</v>
      </c>
      <c r="B610" s="2">
        <f>+'2H filtrado'!D581</f>
        <v>0</v>
      </c>
      <c r="C610" s="5">
        <f>+'2H filtrado'!N581</f>
        <v>0</v>
      </c>
      <c r="D610" s="5">
        <f t="shared" si="11"/>
        <v>-206.99945682995201</v>
      </c>
    </row>
    <row r="611" spans="1:4">
      <c r="A611" s="2">
        <f>+'2H filtrado'!C582</f>
        <v>0</v>
      </c>
      <c r="B611" s="2">
        <f>+'2H filtrado'!D582</f>
        <v>0</v>
      </c>
      <c r="C611" s="5">
        <f>+'2H filtrado'!N582</f>
        <v>0</v>
      </c>
      <c r="D611" s="5">
        <f t="shared" si="11"/>
        <v>-206.99945682995201</v>
      </c>
    </row>
    <row r="612" spans="1:4">
      <c r="A612" s="2">
        <f>+'2H filtrado'!C583</f>
        <v>0</v>
      </c>
      <c r="B612" s="2">
        <f>+'2H filtrado'!D583</f>
        <v>0</v>
      </c>
      <c r="C612" s="5">
        <f>+'2H filtrado'!N583</f>
        <v>0</v>
      </c>
      <c r="D612" s="5">
        <f t="shared" si="11"/>
        <v>-206.99945682995201</v>
      </c>
    </row>
    <row r="613" spans="1:4">
      <c r="A613" s="2">
        <f>+'2H filtrado'!C584</f>
        <v>0</v>
      </c>
      <c r="B613" s="2">
        <f>+'2H filtrado'!D584</f>
        <v>0</v>
      </c>
      <c r="C613" s="5">
        <f>+'2H filtrado'!N584</f>
        <v>0</v>
      </c>
      <c r="D613" s="5">
        <f t="shared" si="11"/>
        <v>-206.99945682995201</v>
      </c>
    </row>
    <row r="614" spans="1:4">
      <c r="A614" s="2">
        <f>+'2H filtrado'!C585</f>
        <v>0</v>
      </c>
      <c r="B614" s="2">
        <f>+'2H filtrado'!D585</f>
        <v>0</v>
      </c>
      <c r="C614" s="5">
        <f>+'2H filtrado'!N585</f>
        <v>0</v>
      </c>
      <c r="D614" s="5">
        <f t="shared" si="11"/>
        <v>-206.99945682995201</v>
      </c>
    </row>
    <row r="615" spans="1:4">
      <c r="A615" s="2">
        <f>+'2H filtrado'!C586</f>
        <v>0</v>
      </c>
      <c r="B615" s="2">
        <f>+'2H filtrado'!D586</f>
        <v>0</v>
      </c>
      <c r="C615" s="5">
        <f>+'2H filtrado'!N586</f>
        <v>0</v>
      </c>
      <c r="D615" s="5">
        <f t="shared" si="11"/>
        <v>-206.99945682995201</v>
      </c>
    </row>
    <row r="616" spans="1:4">
      <c r="A616" s="2">
        <f>+'2H filtrado'!C587</f>
        <v>0</v>
      </c>
      <c r="B616" s="2">
        <f>+'2H filtrado'!D587</f>
        <v>0</v>
      </c>
      <c r="C616" s="5">
        <f>+'2H filtrado'!N587</f>
        <v>0</v>
      </c>
      <c r="D616" s="5">
        <f t="shared" si="11"/>
        <v>-206.99945682995201</v>
      </c>
    </row>
    <row r="617" spans="1:4">
      <c r="A617" s="2">
        <f>+'2H filtrado'!C588</f>
        <v>0</v>
      </c>
      <c r="B617" s="2">
        <f>+'2H filtrado'!D588</f>
        <v>0</v>
      </c>
      <c r="C617" s="5">
        <f>+'2H filtrado'!N588</f>
        <v>0</v>
      </c>
      <c r="D617" s="5">
        <f t="shared" si="11"/>
        <v>-206.99945682995201</v>
      </c>
    </row>
    <row r="618" spans="1:4">
      <c r="A618" s="2">
        <f>+'2H filtrado'!C589</f>
        <v>0</v>
      </c>
      <c r="B618" s="2">
        <f>+'2H filtrado'!D589</f>
        <v>0</v>
      </c>
      <c r="C618" s="5">
        <f>+'2H filtrado'!N589</f>
        <v>0</v>
      </c>
      <c r="D618" s="5">
        <f t="shared" si="11"/>
        <v>-206.99945682995201</v>
      </c>
    </row>
    <row r="619" spans="1:4">
      <c r="A619" s="2">
        <f>+'2H filtrado'!C590</f>
        <v>0</v>
      </c>
      <c r="B619" s="2">
        <f>+'2H filtrado'!D590</f>
        <v>0</v>
      </c>
      <c r="C619" s="5">
        <f>+'2H filtrado'!N590</f>
        <v>0</v>
      </c>
      <c r="D619" s="5">
        <f t="shared" si="11"/>
        <v>-206.99945682995201</v>
      </c>
    </row>
    <row r="620" spans="1:4">
      <c r="A620" s="2">
        <f>+'2H filtrado'!C591</f>
        <v>0</v>
      </c>
      <c r="B620" s="2">
        <f>+'2H filtrado'!D591</f>
        <v>0</v>
      </c>
      <c r="C620" s="5">
        <f>+'2H filtrado'!N591</f>
        <v>0</v>
      </c>
      <c r="D620" s="5">
        <f t="shared" si="11"/>
        <v>-206.99945682995201</v>
      </c>
    </row>
    <row r="621" spans="1:4">
      <c r="A621" s="2">
        <f>+'2H filtrado'!C592</f>
        <v>0</v>
      </c>
      <c r="B621" s="2">
        <f>+'2H filtrado'!D592</f>
        <v>0</v>
      </c>
      <c r="C621" s="5">
        <f>+'2H filtrado'!N592</f>
        <v>0</v>
      </c>
      <c r="D621" s="5">
        <f t="shared" si="11"/>
        <v>-206.99945682995201</v>
      </c>
    </row>
    <row r="622" spans="1:4">
      <c r="A622" s="2">
        <f>+'2H filtrado'!C593</f>
        <v>0</v>
      </c>
      <c r="B622" s="2">
        <f>+'2H filtrado'!D593</f>
        <v>0</v>
      </c>
      <c r="C622" s="5">
        <f>+'2H filtrado'!N593</f>
        <v>0</v>
      </c>
      <c r="D622" s="5">
        <f t="shared" si="11"/>
        <v>-206.99945682995201</v>
      </c>
    </row>
    <row r="623" spans="1:4">
      <c r="A623" s="2">
        <f>+'2H filtrado'!C594</f>
        <v>0</v>
      </c>
      <c r="B623" s="2">
        <f>+'2H filtrado'!D594</f>
        <v>0</v>
      </c>
      <c r="C623" s="5">
        <f>+'2H filtrado'!N594</f>
        <v>0</v>
      </c>
      <c r="D623" s="5">
        <f t="shared" si="11"/>
        <v>-206.99945682995201</v>
      </c>
    </row>
    <row r="624" spans="1:4">
      <c r="A624" s="2">
        <f>+'2H filtrado'!C595</f>
        <v>0</v>
      </c>
      <c r="B624" s="2">
        <f>+'2H filtrado'!D595</f>
        <v>0</v>
      </c>
      <c r="C624" s="5">
        <f>+'2H filtrado'!N595</f>
        <v>0</v>
      </c>
      <c r="D624" s="5">
        <f t="shared" si="11"/>
        <v>-206.99945682995201</v>
      </c>
    </row>
    <row r="625" spans="1:4">
      <c r="A625" s="2">
        <f>+'2H filtrado'!C596</f>
        <v>0</v>
      </c>
      <c r="B625" s="2">
        <f>+'2H filtrado'!D596</f>
        <v>0</v>
      </c>
      <c r="C625" s="5">
        <f>+'2H filtrado'!N596</f>
        <v>0</v>
      </c>
      <c r="D625" s="5">
        <f t="shared" si="11"/>
        <v>-206.99945682995201</v>
      </c>
    </row>
    <row r="626" spans="1:4">
      <c r="A626" s="2">
        <f>+'2H filtrado'!C597</f>
        <v>0</v>
      </c>
      <c r="B626" s="2">
        <f>+'2H filtrado'!D597</f>
        <v>0</v>
      </c>
      <c r="C626" s="5">
        <f>+'2H filtrado'!N597</f>
        <v>0</v>
      </c>
      <c r="D626" s="5">
        <f t="shared" si="11"/>
        <v>-206.99945682995201</v>
      </c>
    </row>
    <row r="627" spans="1:4">
      <c r="A627" s="2">
        <f>+'2H filtrado'!C598</f>
        <v>0</v>
      </c>
      <c r="B627" s="2">
        <f>+'2H filtrado'!D598</f>
        <v>0</v>
      </c>
      <c r="C627" s="5">
        <f>+'2H filtrado'!N598</f>
        <v>0</v>
      </c>
      <c r="D627" s="5">
        <f t="shared" si="11"/>
        <v>-206.99945682995201</v>
      </c>
    </row>
    <row r="628" spans="1:4">
      <c r="A628" s="2">
        <f>+'2H filtrado'!C599</f>
        <v>0</v>
      </c>
      <c r="B628" s="2">
        <f>+'2H filtrado'!D599</f>
        <v>0</v>
      </c>
      <c r="C628" s="5">
        <f>+'2H filtrado'!N599</f>
        <v>0</v>
      </c>
      <c r="D628" s="5">
        <f t="shared" si="11"/>
        <v>-206.99945682995201</v>
      </c>
    </row>
    <row r="629" spans="1:4">
      <c r="A629" s="2">
        <f>+'2H filtrado'!C600</f>
        <v>0</v>
      </c>
      <c r="B629" s="2">
        <f>+'2H filtrado'!D600</f>
        <v>0</v>
      </c>
      <c r="C629" s="5">
        <f>+'2H filtrado'!N600</f>
        <v>0</v>
      </c>
      <c r="D629" s="5">
        <f t="shared" si="11"/>
        <v>-206.99945682995201</v>
      </c>
    </row>
    <row r="630" spans="1:4">
      <c r="A630" s="2">
        <f>+'2H filtrado'!C601</f>
        <v>0</v>
      </c>
      <c r="B630" s="2">
        <f>+'2H filtrado'!D601</f>
        <v>0</v>
      </c>
      <c r="C630" s="5">
        <f>+'2H filtrado'!N601</f>
        <v>0</v>
      </c>
      <c r="D630" s="5">
        <f t="shared" si="11"/>
        <v>-206.99945682995201</v>
      </c>
    </row>
    <row r="631" spans="1:4">
      <c r="A631" s="2">
        <f>+'2H filtrado'!C602</f>
        <v>0</v>
      </c>
      <c r="B631" s="2">
        <f>+'2H filtrado'!D602</f>
        <v>0</v>
      </c>
      <c r="C631" s="5">
        <f>+'2H filtrado'!N602</f>
        <v>0</v>
      </c>
      <c r="D631" s="5">
        <f t="shared" si="11"/>
        <v>-206.99945682995201</v>
      </c>
    </row>
    <row r="632" spans="1:4">
      <c r="A632" s="2">
        <f>+'2H filtrado'!C603</f>
        <v>0</v>
      </c>
      <c r="B632" s="2">
        <f>+'2H filtrado'!D603</f>
        <v>0</v>
      </c>
      <c r="C632" s="5">
        <f>+'2H filtrado'!N603</f>
        <v>0</v>
      </c>
      <c r="D632" s="5">
        <f t="shared" si="11"/>
        <v>-206.99945682995201</v>
      </c>
    </row>
    <row r="633" spans="1:4">
      <c r="A633" s="2">
        <f>+'2H filtrado'!C604</f>
        <v>0</v>
      </c>
      <c r="B633" s="2">
        <f>+'2H filtrado'!D604</f>
        <v>0</v>
      </c>
      <c r="C633" s="5">
        <f>+'2H filtrado'!N604</f>
        <v>0</v>
      </c>
      <c r="D633" s="5">
        <f t="shared" si="11"/>
        <v>-206.99945682995201</v>
      </c>
    </row>
    <row r="634" spans="1:4">
      <c r="A634" s="2">
        <f>+'2H filtrado'!C605</f>
        <v>0</v>
      </c>
      <c r="B634" s="2">
        <f>+'2H filtrado'!D605</f>
        <v>0</v>
      </c>
      <c r="C634" s="5">
        <f>+'2H filtrado'!N605</f>
        <v>0</v>
      </c>
      <c r="D634" s="5">
        <f t="shared" si="11"/>
        <v>-206.99945682995201</v>
      </c>
    </row>
    <row r="635" spans="1:4">
      <c r="A635" s="2">
        <f>+'2H filtrado'!C606</f>
        <v>0</v>
      </c>
      <c r="B635" s="2">
        <f>+'2H filtrado'!D606</f>
        <v>0</v>
      </c>
      <c r="C635" s="5">
        <f>+'2H filtrado'!N606</f>
        <v>0</v>
      </c>
      <c r="D635" s="5">
        <f t="shared" si="11"/>
        <v>-206.99945682995201</v>
      </c>
    </row>
    <row r="636" spans="1:4">
      <c r="A636" s="2">
        <f>+'2H filtrado'!C607</f>
        <v>0</v>
      </c>
      <c r="B636" s="2">
        <f>+'2H filtrado'!D607</f>
        <v>0</v>
      </c>
      <c r="C636" s="5">
        <f>+'2H filtrado'!N607</f>
        <v>0</v>
      </c>
      <c r="D636" s="5">
        <f t="shared" si="11"/>
        <v>-206.99945682995201</v>
      </c>
    </row>
    <row r="637" spans="1:4">
      <c r="A637" s="2">
        <f>+'2H filtrado'!C608</f>
        <v>0</v>
      </c>
      <c r="B637" s="2">
        <f>+'2H filtrado'!D608</f>
        <v>0</v>
      </c>
      <c r="C637" s="5">
        <f>+'2H filtrado'!N608</f>
        <v>0</v>
      </c>
      <c r="D637" s="5">
        <f t="shared" si="11"/>
        <v>-206.99945682995201</v>
      </c>
    </row>
    <row r="638" spans="1:4">
      <c r="A638" s="2">
        <f>+'2H filtrado'!C609</f>
        <v>0</v>
      </c>
      <c r="B638" s="2">
        <f>+'2H filtrado'!D609</f>
        <v>0</v>
      </c>
      <c r="C638" s="5">
        <f>+'2H filtrado'!N609</f>
        <v>0</v>
      </c>
      <c r="D638" s="5">
        <f t="shared" si="11"/>
        <v>-206.99945682995201</v>
      </c>
    </row>
    <row r="639" spans="1:4">
      <c r="A639" s="2">
        <f>+'2H filtrado'!C610</f>
        <v>0</v>
      </c>
      <c r="B639" s="2">
        <f>+'2H filtrado'!D610</f>
        <v>0</v>
      </c>
      <c r="C639" s="5">
        <f>+'2H filtrado'!N610</f>
        <v>0</v>
      </c>
      <c r="D639" s="5">
        <f t="shared" si="11"/>
        <v>-206.99945682995201</v>
      </c>
    </row>
    <row r="640" spans="1:4">
      <c r="A640" s="2">
        <f>+'2H filtrado'!C611</f>
        <v>0</v>
      </c>
      <c r="B640" s="2">
        <f>+'2H filtrado'!D611</f>
        <v>0</v>
      </c>
      <c r="C640" s="5">
        <f>+'2H filtrado'!N611</f>
        <v>0</v>
      </c>
      <c r="D640" s="5">
        <f t="shared" si="11"/>
        <v>-206.99945682995201</v>
      </c>
    </row>
    <row r="641" spans="1:4">
      <c r="A641" s="2">
        <f>+'2H filtrado'!C612</f>
        <v>0</v>
      </c>
      <c r="B641" s="2">
        <f>+'2H filtrado'!D612</f>
        <v>0</v>
      </c>
      <c r="C641" s="5">
        <f>+'2H filtrado'!N612</f>
        <v>0</v>
      </c>
      <c r="D641" s="5">
        <f t="shared" si="11"/>
        <v>-206.99945682995201</v>
      </c>
    </row>
    <row r="642" spans="1:4">
      <c r="A642" s="2">
        <f>+'2H filtrado'!C613</f>
        <v>0</v>
      </c>
      <c r="B642" s="2">
        <f>+'2H filtrado'!D613</f>
        <v>0</v>
      </c>
      <c r="C642" s="5">
        <f>+'2H filtrado'!N613</f>
        <v>0</v>
      </c>
      <c r="D642" s="5">
        <f t="shared" si="11"/>
        <v>-206.99945682995201</v>
      </c>
    </row>
    <row r="643" spans="1:4">
      <c r="A643" s="2">
        <f>+'2H filtrado'!C614</f>
        <v>0</v>
      </c>
      <c r="B643" s="2">
        <f>+'2H filtrado'!D614</f>
        <v>0</v>
      </c>
      <c r="C643" s="5">
        <f>+'2H filtrado'!N614</f>
        <v>0</v>
      </c>
      <c r="D643" s="5">
        <f t="shared" si="11"/>
        <v>-206.99945682995201</v>
      </c>
    </row>
    <row r="644" spans="1:4">
      <c r="A644" s="2">
        <f>+'2H filtrado'!C615</f>
        <v>0</v>
      </c>
      <c r="B644" s="2">
        <f>+'2H filtrado'!D615</f>
        <v>0</v>
      </c>
      <c r="C644" s="5">
        <f>+'2H filtrado'!N615</f>
        <v>0</v>
      </c>
      <c r="D644" s="5">
        <f t="shared" si="11"/>
        <v>-206.99945682995201</v>
      </c>
    </row>
    <row r="645" spans="1:4">
      <c r="A645" s="2">
        <f>+'2H filtrado'!C616</f>
        <v>0</v>
      </c>
      <c r="B645" s="2">
        <f>+'2H filtrado'!D616</f>
        <v>0</v>
      </c>
      <c r="C645" s="5">
        <f>+'2H filtrado'!N616</f>
        <v>0</v>
      </c>
      <c r="D645" s="5">
        <f t="shared" si="11"/>
        <v>-206.99945682995201</v>
      </c>
    </row>
    <row r="646" spans="1:4">
      <c r="A646" s="2">
        <f>+'2H filtrado'!C617</f>
        <v>0</v>
      </c>
      <c r="B646" s="2">
        <f>+'2H filtrado'!D617</f>
        <v>0</v>
      </c>
      <c r="C646" s="5">
        <f>+'2H filtrado'!N617</f>
        <v>0</v>
      </c>
      <c r="D646" s="5">
        <f t="shared" si="11"/>
        <v>-206.99945682995201</v>
      </c>
    </row>
    <row r="647" spans="1:4">
      <c r="A647" s="2">
        <f>+'2H filtrado'!C618</f>
        <v>0</v>
      </c>
      <c r="B647" s="2">
        <f>+'2H filtrado'!D618</f>
        <v>0</v>
      </c>
      <c r="C647" s="5">
        <f>+'2H filtrado'!N618</f>
        <v>0</v>
      </c>
      <c r="D647" s="5">
        <f t="shared" si="11"/>
        <v>-206.99945682995201</v>
      </c>
    </row>
    <row r="648" spans="1:4">
      <c r="A648" s="2">
        <f>+'2H filtrado'!C619</f>
        <v>0</v>
      </c>
      <c r="B648" s="2">
        <f>+'2H filtrado'!D619</f>
        <v>0</v>
      </c>
      <c r="C648" s="5">
        <f>+'2H filtrado'!N619</f>
        <v>0</v>
      </c>
      <c r="D648" s="5">
        <f t="shared" si="11"/>
        <v>-206.99945682995201</v>
      </c>
    </row>
    <row r="649" spans="1:4">
      <c r="A649" s="2">
        <f>+'2H filtrado'!C620</f>
        <v>0</v>
      </c>
      <c r="B649" s="2">
        <f>+'2H filtrado'!D620</f>
        <v>0</v>
      </c>
      <c r="C649" s="5">
        <f>+'2H filtrado'!N620</f>
        <v>0</v>
      </c>
      <c r="D649" s="5">
        <f t="shared" si="11"/>
        <v>-206.99945682995201</v>
      </c>
    </row>
    <row r="650" spans="1:4">
      <c r="A650" s="2">
        <f>+'2H filtrado'!C621</f>
        <v>0</v>
      </c>
      <c r="B650" s="2">
        <f>+'2H filtrado'!D621</f>
        <v>0</v>
      </c>
      <c r="C650" s="5">
        <f>+'2H filtrado'!N621</f>
        <v>0</v>
      </c>
      <c r="D650" s="5">
        <f t="shared" si="11"/>
        <v>-206.99945682995201</v>
      </c>
    </row>
    <row r="651" spans="1:4">
      <c r="A651" s="2">
        <f>+'2H filtrado'!C622</f>
        <v>0</v>
      </c>
      <c r="B651" s="2">
        <f>+'2H filtrado'!D622</f>
        <v>0</v>
      </c>
      <c r="C651" s="5">
        <f>+'2H filtrado'!N622</f>
        <v>0</v>
      </c>
      <c r="D651" s="5">
        <f t="shared" si="11"/>
        <v>-206.99945682995201</v>
      </c>
    </row>
    <row r="652" spans="1:4">
      <c r="A652" s="2">
        <f>+'2H filtrado'!C623</f>
        <v>0</v>
      </c>
      <c r="B652" s="2">
        <f>+'2H filtrado'!D623</f>
        <v>0</v>
      </c>
      <c r="C652" s="5">
        <f>+'2H filtrado'!N623</f>
        <v>0</v>
      </c>
      <c r="D652" s="5">
        <f t="shared" si="11"/>
        <v>-206.99945682995201</v>
      </c>
    </row>
    <row r="653" spans="1:4">
      <c r="A653" s="2">
        <f>+'2H filtrado'!C624</f>
        <v>0</v>
      </c>
      <c r="B653" s="2">
        <f>+'2H filtrado'!D624</f>
        <v>0</v>
      </c>
      <c r="C653" s="5">
        <f>+'2H filtrado'!N624</f>
        <v>0</v>
      </c>
      <c r="D653" s="5">
        <f t="shared" si="11"/>
        <v>-206.99945682995201</v>
      </c>
    </row>
    <row r="654" spans="1:4">
      <c r="A654" s="2">
        <f>+'2H filtrado'!C625</f>
        <v>0</v>
      </c>
      <c r="B654" s="2">
        <f>+'2H filtrado'!D625</f>
        <v>0</v>
      </c>
      <c r="C654" s="5">
        <f>+'2H filtrado'!N625</f>
        <v>0</v>
      </c>
      <c r="D654" s="5">
        <f t="shared" si="11"/>
        <v>-206.99945682995201</v>
      </c>
    </row>
    <row r="655" spans="1:4">
      <c r="A655" s="2">
        <f>+'2H filtrado'!C626</f>
        <v>0</v>
      </c>
      <c r="B655" s="2">
        <f>+'2H filtrado'!D626</f>
        <v>0</v>
      </c>
      <c r="C655" s="5">
        <f>+'2H filtrado'!N626</f>
        <v>0</v>
      </c>
      <c r="D655" s="5">
        <f t="shared" si="11"/>
        <v>-206.99945682995201</v>
      </c>
    </row>
    <row r="656" spans="1:4">
      <c r="A656" s="2">
        <f>+'2H filtrado'!C627</f>
        <v>0</v>
      </c>
      <c r="B656" s="2">
        <f>+'2H filtrado'!D627</f>
        <v>0</v>
      </c>
      <c r="C656" s="5">
        <f>+'2H filtrado'!N627</f>
        <v>0</v>
      </c>
      <c r="D656" s="5">
        <f t="shared" si="11"/>
        <v>-206.99945682995201</v>
      </c>
    </row>
    <row r="657" spans="1:4">
      <c r="A657" s="2">
        <f>+'2H filtrado'!C628</f>
        <v>0</v>
      </c>
      <c r="B657" s="2">
        <f>+'2H filtrado'!D628</f>
        <v>0</v>
      </c>
      <c r="C657" s="5">
        <f>+'2H filtrado'!N628</f>
        <v>0</v>
      </c>
      <c r="D657" s="5">
        <f t="shared" si="11"/>
        <v>-206.99945682995201</v>
      </c>
    </row>
    <row r="658" spans="1:4">
      <c r="A658" s="2">
        <f>+'2H filtrado'!C629</f>
        <v>0</v>
      </c>
      <c r="B658" s="2">
        <f>+'2H filtrado'!D629</f>
        <v>0</v>
      </c>
      <c r="C658" s="5">
        <f>+'2H filtrado'!N629</f>
        <v>0</v>
      </c>
      <c r="D658" s="5">
        <f t="shared" si="11"/>
        <v>-206.99945682995201</v>
      </c>
    </row>
    <row r="659" spans="1:4">
      <c r="A659" s="2">
        <f>+'2H filtrado'!C630</f>
        <v>0</v>
      </c>
      <c r="B659" s="2">
        <f>+'2H filtrado'!D630</f>
        <v>0</v>
      </c>
      <c r="C659" s="5">
        <f>+'2H filtrado'!N630</f>
        <v>0</v>
      </c>
      <c r="D659" s="5">
        <f t="shared" si="11"/>
        <v>-206.99945682995201</v>
      </c>
    </row>
    <row r="660" spans="1:4">
      <c r="A660" s="2">
        <f>+'2H filtrado'!C631</f>
        <v>0</v>
      </c>
      <c r="B660" s="2">
        <f>+'2H filtrado'!D631</f>
        <v>0</v>
      </c>
      <c r="C660" s="5">
        <f>+'2H filtrado'!N631</f>
        <v>0</v>
      </c>
      <c r="D660" s="5">
        <f t="shared" si="11"/>
        <v>-206.99945682995201</v>
      </c>
    </row>
    <row r="661" spans="1:4">
      <c r="A661" s="2">
        <f>+'2H filtrado'!C632</f>
        <v>0</v>
      </c>
      <c r="B661" s="2">
        <f>+'2H filtrado'!D632</f>
        <v>0</v>
      </c>
      <c r="C661" s="5">
        <f>+'2H filtrado'!N632</f>
        <v>0</v>
      </c>
      <c r="D661" s="5">
        <f t="shared" si="11"/>
        <v>-206.99945682995201</v>
      </c>
    </row>
    <row r="662" spans="1:4">
      <c r="A662" s="2">
        <f>+'2H filtrado'!C633</f>
        <v>0</v>
      </c>
      <c r="B662" s="2">
        <f>+'2H filtrado'!D633</f>
        <v>0</v>
      </c>
      <c r="C662" s="5">
        <f>+'2H filtrado'!N633</f>
        <v>0</v>
      </c>
      <c r="D662" s="5">
        <f t="shared" si="11"/>
        <v>-206.99945682995201</v>
      </c>
    </row>
    <row r="663" spans="1:4">
      <c r="A663" s="2">
        <f>+'2H filtrado'!C634</f>
        <v>0</v>
      </c>
      <c r="B663" s="2">
        <f>+'2H filtrado'!D634</f>
        <v>0</v>
      </c>
      <c r="C663" s="5">
        <f>+'2H filtrado'!N634</f>
        <v>0</v>
      </c>
      <c r="D663" s="5">
        <f t="shared" si="11"/>
        <v>-206.99945682995201</v>
      </c>
    </row>
    <row r="664" spans="1:4">
      <c r="A664" s="2">
        <f>+'2H filtrado'!C635</f>
        <v>0</v>
      </c>
      <c r="B664" s="2">
        <f>+'2H filtrado'!D635</f>
        <v>0</v>
      </c>
      <c r="C664" s="5">
        <f>+'2H filtrado'!N635</f>
        <v>0</v>
      </c>
      <c r="D664" s="5">
        <f t="shared" si="11"/>
        <v>-206.99945682995201</v>
      </c>
    </row>
    <row r="665" spans="1:4">
      <c r="A665" s="2">
        <f>+'2H filtrado'!C636</f>
        <v>0</v>
      </c>
      <c r="B665" s="2">
        <f>+'2H filtrado'!D636</f>
        <v>0</v>
      </c>
      <c r="C665" s="5">
        <f>+'2H filtrado'!N636</f>
        <v>0</v>
      </c>
      <c r="D665" s="5">
        <f t="shared" si="11"/>
        <v>-206.99945682995201</v>
      </c>
    </row>
    <row r="666" spans="1:4">
      <c r="A666" s="2">
        <f>+'2H filtrado'!C637</f>
        <v>0</v>
      </c>
      <c r="B666" s="2">
        <f>+'2H filtrado'!D637</f>
        <v>0</v>
      </c>
      <c r="C666" s="5">
        <f>+'2H filtrado'!N637</f>
        <v>0</v>
      </c>
      <c r="D666" s="5">
        <f t="shared" si="11"/>
        <v>-206.99945682995201</v>
      </c>
    </row>
    <row r="667" spans="1:4">
      <c r="A667" s="2">
        <f>+'2H filtrado'!C638</f>
        <v>0</v>
      </c>
      <c r="B667" s="2">
        <f>+'2H filtrado'!D638</f>
        <v>0</v>
      </c>
      <c r="C667" s="5">
        <f>+'2H filtrado'!N638</f>
        <v>0</v>
      </c>
      <c r="D667" s="5">
        <f t="shared" si="11"/>
        <v>-206.99945682995201</v>
      </c>
    </row>
    <row r="668" spans="1:4">
      <c r="A668" s="2">
        <f>+'2H filtrado'!C639</f>
        <v>0</v>
      </c>
      <c r="B668" s="2">
        <f>+'2H filtrado'!D639</f>
        <v>0</v>
      </c>
      <c r="C668" s="5">
        <f>+'2H filtrado'!N639</f>
        <v>0</v>
      </c>
      <c r="D668" s="5">
        <f t="shared" si="11"/>
        <v>-206.99945682995201</v>
      </c>
    </row>
    <row r="669" spans="1:4">
      <c r="A669" s="2">
        <f>+'2H filtrado'!C640</f>
        <v>0</v>
      </c>
      <c r="B669" s="2">
        <f>+'2H filtrado'!D640</f>
        <v>0</v>
      </c>
      <c r="C669" s="5">
        <f>+'2H filtrado'!N640</f>
        <v>0</v>
      </c>
      <c r="D669" s="5">
        <f t="shared" si="11"/>
        <v>-206.99945682995201</v>
      </c>
    </row>
    <row r="670" spans="1:4">
      <c r="A670" s="2">
        <f>+'2H filtrado'!C641</f>
        <v>0</v>
      </c>
      <c r="B670" s="2">
        <f>+'2H filtrado'!D641</f>
        <v>0</v>
      </c>
      <c r="C670" s="5">
        <f>+'2H filtrado'!N641</f>
        <v>0</v>
      </c>
      <c r="D670" s="5">
        <f t="shared" si="11"/>
        <v>-206.99945682995201</v>
      </c>
    </row>
    <row r="671" spans="1:4">
      <c r="A671" s="2">
        <f>+'2H filtrado'!C642</f>
        <v>0</v>
      </c>
      <c r="B671" s="2">
        <f>+'2H filtrado'!D642</f>
        <v>0</v>
      </c>
      <c r="C671" s="5">
        <f>+'2H filtrado'!N642</f>
        <v>0</v>
      </c>
      <c r="D671" s="5">
        <f t="shared" si="11"/>
        <v>-206.99945682995201</v>
      </c>
    </row>
    <row r="672" spans="1:4">
      <c r="A672" s="2">
        <f>+'2H filtrado'!C643</f>
        <v>0</v>
      </c>
      <c r="B672" s="2">
        <f>+'2H filtrado'!D643</f>
        <v>0</v>
      </c>
      <c r="C672" s="5">
        <f>+'2H filtrado'!N643</f>
        <v>0</v>
      </c>
      <c r="D672" s="5">
        <f t="shared" ref="D672:D735" si="12">+(C672-$N$22)/$N$21</f>
        <v>-206.99945682995201</v>
      </c>
    </row>
    <row r="673" spans="1:4">
      <c r="A673" s="2">
        <f>+'2H filtrado'!C644</f>
        <v>0</v>
      </c>
      <c r="B673" s="2">
        <f>+'2H filtrado'!D644</f>
        <v>0</v>
      </c>
      <c r="C673" s="5">
        <f>+'2H filtrado'!N644</f>
        <v>0</v>
      </c>
      <c r="D673" s="5">
        <f t="shared" si="12"/>
        <v>-206.99945682995201</v>
      </c>
    </row>
    <row r="674" spans="1:4">
      <c r="A674" s="2">
        <f>+'2H filtrado'!C645</f>
        <v>0</v>
      </c>
      <c r="B674" s="2">
        <f>+'2H filtrado'!D645</f>
        <v>0</v>
      </c>
      <c r="C674" s="5">
        <f>+'2H filtrado'!N645</f>
        <v>0</v>
      </c>
      <c r="D674" s="5">
        <f t="shared" si="12"/>
        <v>-206.99945682995201</v>
      </c>
    </row>
    <row r="675" spans="1:4">
      <c r="A675" s="2">
        <f>+'2H filtrado'!C646</f>
        <v>0</v>
      </c>
      <c r="B675" s="2">
        <f>+'2H filtrado'!D646</f>
        <v>0</v>
      </c>
      <c r="C675" s="5">
        <f>+'2H filtrado'!N646</f>
        <v>0</v>
      </c>
      <c r="D675" s="5">
        <f t="shared" si="12"/>
        <v>-206.99945682995201</v>
      </c>
    </row>
    <row r="676" spans="1:4">
      <c r="A676" s="2">
        <f>+'2H filtrado'!C647</f>
        <v>0</v>
      </c>
      <c r="B676" s="2">
        <f>+'2H filtrado'!D647</f>
        <v>0</v>
      </c>
      <c r="C676" s="5">
        <f>+'2H filtrado'!N647</f>
        <v>0</v>
      </c>
      <c r="D676" s="5">
        <f t="shared" si="12"/>
        <v>-206.99945682995201</v>
      </c>
    </row>
    <row r="677" spans="1:4">
      <c r="A677" s="2">
        <f>+'2H filtrado'!C648</f>
        <v>0</v>
      </c>
      <c r="B677" s="2">
        <f>+'2H filtrado'!D648</f>
        <v>0</v>
      </c>
      <c r="C677" s="5">
        <f>+'2H filtrado'!N648</f>
        <v>0</v>
      </c>
      <c r="D677" s="5">
        <f t="shared" si="12"/>
        <v>-206.99945682995201</v>
      </c>
    </row>
    <row r="678" spans="1:4">
      <c r="A678" s="2">
        <f>+'2H filtrado'!C649</f>
        <v>0</v>
      </c>
      <c r="B678" s="2">
        <f>+'2H filtrado'!D649</f>
        <v>0</v>
      </c>
      <c r="C678" s="5">
        <f>+'2H filtrado'!N649</f>
        <v>0</v>
      </c>
      <c r="D678" s="5">
        <f t="shared" si="12"/>
        <v>-206.99945682995201</v>
      </c>
    </row>
    <row r="679" spans="1:4">
      <c r="A679" s="2">
        <f>+'2H filtrado'!C650</f>
        <v>0</v>
      </c>
      <c r="B679" s="2">
        <f>+'2H filtrado'!D650</f>
        <v>0</v>
      </c>
      <c r="C679" s="5">
        <f>+'2H filtrado'!N650</f>
        <v>0</v>
      </c>
      <c r="D679" s="5">
        <f t="shared" si="12"/>
        <v>-206.99945682995201</v>
      </c>
    </row>
    <row r="680" spans="1:4">
      <c r="A680" s="2">
        <f>+'2H filtrado'!C651</f>
        <v>0</v>
      </c>
      <c r="B680" s="2">
        <f>+'2H filtrado'!D651</f>
        <v>0</v>
      </c>
      <c r="C680" s="5">
        <f>+'2H filtrado'!N651</f>
        <v>0</v>
      </c>
      <c r="D680" s="5">
        <f t="shared" si="12"/>
        <v>-206.99945682995201</v>
      </c>
    </row>
    <row r="681" spans="1:4">
      <c r="A681" s="2">
        <f>+'2H filtrado'!C652</f>
        <v>0</v>
      </c>
      <c r="B681" s="2">
        <f>+'2H filtrado'!D652</f>
        <v>0</v>
      </c>
      <c r="C681" s="5">
        <f>+'2H filtrado'!N652</f>
        <v>0</v>
      </c>
      <c r="D681" s="5">
        <f t="shared" si="12"/>
        <v>-206.99945682995201</v>
      </c>
    </row>
    <row r="682" spans="1:4">
      <c r="A682" s="2">
        <f>+'2H filtrado'!C653</f>
        <v>0</v>
      </c>
      <c r="B682" s="2">
        <f>+'2H filtrado'!D653</f>
        <v>0</v>
      </c>
      <c r="C682" s="5">
        <f>+'2H filtrado'!N653</f>
        <v>0</v>
      </c>
      <c r="D682" s="5">
        <f t="shared" si="12"/>
        <v>-206.99945682995201</v>
      </c>
    </row>
    <row r="683" spans="1:4">
      <c r="A683" s="2">
        <f>+'2H filtrado'!C654</f>
        <v>0</v>
      </c>
      <c r="B683" s="2">
        <f>+'2H filtrado'!D654</f>
        <v>0</v>
      </c>
      <c r="C683" s="5">
        <f>+'2H filtrado'!N654</f>
        <v>0</v>
      </c>
      <c r="D683" s="5">
        <f t="shared" si="12"/>
        <v>-206.99945682995201</v>
      </c>
    </row>
    <row r="684" spans="1:4">
      <c r="A684" s="2">
        <f>+'2H filtrado'!C655</f>
        <v>0</v>
      </c>
      <c r="B684" s="2">
        <f>+'2H filtrado'!D655</f>
        <v>0</v>
      </c>
      <c r="C684" s="5">
        <f>+'2H filtrado'!N655</f>
        <v>0</v>
      </c>
      <c r="D684" s="5">
        <f t="shared" si="12"/>
        <v>-206.99945682995201</v>
      </c>
    </row>
    <row r="685" spans="1:4">
      <c r="A685" s="2">
        <f>+'2H filtrado'!C656</f>
        <v>0</v>
      </c>
      <c r="B685" s="2">
        <f>+'2H filtrado'!D656</f>
        <v>0</v>
      </c>
      <c r="C685" s="5">
        <f>+'2H filtrado'!N656</f>
        <v>0</v>
      </c>
      <c r="D685" s="5">
        <f t="shared" si="12"/>
        <v>-206.99945682995201</v>
      </c>
    </row>
    <row r="686" spans="1:4">
      <c r="A686" s="2">
        <f>+'2H filtrado'!C657</f>
        <v>0</v>
      </c>
      <c r="B686" s="2">
        <f>+'2H filtrado'!D657</f>
        <v>0</v>
      </c>
      <c r="C686" s="5">
        <f>+'2H filtrado'!N657</f>
        <v>0</v>
      </c>
      <c r="D686" s="5">
        <f t="shared" si="12"/>
        <v>-206.99945682995201</v>
      </c>
    </row>
    <row r="687" spans="1:4">
      <c r="A687" s="2">
        <f>+'2H filtrado'!C658</f>
        <v>0</v>
      </c>
      <c r="B687" s="2">
        <f>+'2H filtrado'!D658</f>
        <v>0</v>
      </c>
      <c r="C687" s="5">
        <f>+'2H filtrado'!N658</f>
        <v>0</v>
      </c>
      <c r="D687" s="5">
        <f t="shared" si="12"/>
        <v>-206.99945682995201</v>
      </c>
    </row>
    <row r="688" spans="1:4">
      <c r="A688" s="2">
        <f>+'2H filtrado'!C659</f>
        <v>0</v>
      </c>
      <c r="B688" s="2">
        <f>+'2H filtrado'!D659</f>
        <v>0</v>
      </c>
      <c r="C688" s="5">
        <f>+'2H filtrado'!N659</f>
        <v>0</v>
      </c>
      <c r="D688" s="5">
        <f t="shared" si="12"/>
        <v>-206.99945682995201</v>
      </c>
    </row>
    <row r="689" spans="1:4">
      <c r="A689" s="2">
        <f>+'2H filtrado'!C660</f>
        <v>0</v>
      </c>
      <c r="B689" s="2">
        <f>+'2H filtrado'!D660</f>
        <v>0</v>
      </c>
      <c r="C689" s="5">
        <f>+'2H filtrado'!N660</f>
        <v>0</v>
      </c>
      <c r="D689" s="5">
        <f t="shared" si="12"/>
        <v>-206.99945682995201</v>
      </c>
    </row>
    <row r="690" spans="1:4">
      <c r="A690" s="2">
        <f>+'2H filtrado'!C661</f>
        <v>0</v>
      </c>
      <c r="B690" s="2">
        <f>+'2H filtrado'!D661</f>
        <v>0</v>
      </c>
      <c r="C690" s="5">
        <f>+'2H filtrado'!N661</f>
        <v>0</v>
      </c>
      <c r="D690" s="5">
        <f t="shared" si="12"/>
        <v>-206.99945682995201</v>
      </c>
    </row>
    <row r="691" spans="1:4">
      <c r="A691" s="2">
        <f>+'2H filtrado'!C662</f>
        <v>0</v>
      </c>
      <c r="B691" s="2">
        <f>+'2H filtrado'!D662</f>
        <v>0</v>
      </c>
      <c r="C691" s="5">
        <f>+'2H filtrado'!N662</f>
        <v>0</v>
      </c>
      <c r="D691" s="5">
        <f t="shared" si="12"/>
        <v>-206.99945682995201</v>
      </c>
    </row>
    <row r="692" spans="1:4">
      <c r="A692" s="2">
        <f>+'2H filtrado'!C663</f>
        <v>0</v>
      </c>
      <c r="B692" s="2">
        <f>+'2H filtrado'!D663</f>
        <v>0</v>
      </c>
      <c r="C692" s="5">
        <f>+'2H filtrado'!N663</f>
        <v>0</v>
      </c>
      <c r="D692" s="5">
        <f t="shared" si="12"/>
        <v>-206.99945682995201</v>
      </c>
    </row>
    <row r="693" spans="1:4">
      <c r="A693" s="2">
        <f>+'2H filtrado'!C664</f>
        <v>0</v>
      </c>
      <c r="B693" s="2">
        <f>+'2H filtrado'!D664</f>
        <v>0</v>
      </c>
      <c r="C693" s="5">
        <f>+'2H filtrado'!N664</f>
        <v>0</v>
      </c>
      <c r="D693" s="5">
        <f t="shared" si="12"/>
        <v>-206.99945682995201</v>
      </c>
    </row>
    <row r="694" spans="1:4">
      <c r="A694" s="2">
        <f>+'2H filtrado'!C665</f>
        <v>0</v>
      </c>
      <c r="B694" s="2">
        <f>+'2H filtrado'!D665</f>
        <v>0</v>
      </c>
      <c r="C694" s="5">
        <f>+'2H filtrado'!N665</f>
        <v>0</v>
      </c>
      <c r="D694" s="5">
        <f t="shared" si="12"/>
        <v>-206.99945682995201</v>
      </c>
    </row>
    <row r="695" spans="1:4">
      <c r="A695" s="2">
        <f>+'2H filtrado'!C666</f>
        <v>0</v>
      </c>
      <c r="B695" s="2">
        <f>+'2H filtrado'!D666</f>
        <v>0</v>
      </c>
      <c r="C695" s="5">
        <f>+'2H filtrado'!N666</f>
        <v>0</v>
      </c>
      <c r="D695" s="5">
        <f t="shared" si="12"/>
        <v>-206.99945682995201</v>
      </c>
    </row>
    <row r="696" spans="1:4">
      <c r="A696" s="2">
        <f>+'2H filtrado'!C667</f>
        <v>0</v>
      </c>
      <c r="B696" s="2">
        <f>+'2H filtrado'!D667</f>
        <v>0</v>
      </c>
      <c r="C696" s="5">
        <f>+'2H filtrado'!N667</f>
        <v>0</v>
      </c>
      <c r="D696" s="5">
        <f t="shared" si="12"/>
        <v>-206.99945682995201</v>
      </c>
    </row>
    <row r="697" spans="1:4">
      <c r="A697" s="2">
        <f>+'2H filtrado'!C668</f>
        <v>0</v>
      </c>
      <c r="B697" s="2">
        <f>+'2H filtrado'!D668</f>
        <v>0</v>
      </c>
      <c r="C697" s="5">
        <f>+'2H filtrado'!N668</f>
        <v>0</v>
      </c>
      <c r="D697" s="5">
        <f t="shared" si="12"/>
        <v>-206.99945682995201</v>
      </c>
    </row>
    <row r="698" spans="1:4">
      <c r="A698" s="2">
        <f>+'2H filtrado'!C669</f>
        <v>0</v>
      </c>
      <c r="B698" s="2">
        <f>+'2H filtrado'!D669</f>
        <v>0</v>
      </c>
      <c r="C698" s="5">
        <f>+'2H filtrado'!N669</f>
        <v>0</v>
      </c>
      <c r="D698" s="5">
        <f t="shared" si="12"/>
        <v>-206.99945682995201</v>
      </c>
    </row>
    <row r="699" spans="1:4">
      <c r="A699" s="2">
        <f>+'2H filtrado'!C670</f>
        <v>0</v>
      </c>
      <c r="B699" s="2">
        <f>+'2H filtrado'!D670</f>
        <v>0</v>
      </c>
      <c r="C699" s="5">
        <f>+'2H filtrado'!N670</f>
        <v>0</v>
      </c>
      <c r="D699" s="5">
        <f t="shared" si="12"/>
        <v>-206.99945682995201</v>
      </c>
    </row>
    <row r="700" spans="1:4">
      <c r="A700" s="2">
        <f>+'2H filtrado'!C671</f>
        <v>0</v>
      </c>
      <c r="B700" s="2">
        <f>+'2H filtrado'!D671</f>
        <v>0</v>
      </c>
      <c r="C700" s="5">
        <f>+'2H filtrado'!N671</f>
        <v>0</v>
      </c>
      <c r="D700" s="5">
        <f t="shared" si="12"/>
        <v>-206.99945682995201</v>
      </c>
    </row>
    <row r="701" spans="1:4">
      <c r="A701" s="2">
        <f>+'2H filtrado'!C672</f>
        <v>0</v>
      </c>
      <c r="B701" s="2">
        <f>+'2H filtrado'!D672</f>
        <v>0</v>
      </c>
      <c r="C701" s="5">
        <f>+'2H filtrado'!N672</f>
        <v>0</v>
      </c>
      <c r="D701" s="5">
        <f t="shared" si="12"/>
        <v>-206.99945682995201</v>
      </c>
    </row>
    <row r="702" spans="1:4">
      <c r="A702" s="2">
        <f>+'2H filtrado'!C673</f>
        <v>0</v>
      </c>
      <c r="B702" s="2">
        <f>+'2H filtrado'!D673</f>
        <v>0</v>
      </c>
      <c r="C702" s="5">
        <f>+'2H filtrado'!N673</f>
        <v>0</v>
      </c>
      <c r="D702" s="5">
        <f t="shared" si="12"/>
        <v>-206.99945682995201</v>
      </c>
    </row>
    <row r="703" spans="1:4">
      <c r="A703" s="2">
        <f>+'2H filtrado'!C674</f>
        <v>0</v>
      </c>
      <c r="B703" s="2">
        <f>+'2H filtrado'!D674</f>
        <v>0</v>
      </c>
      <c r="C703" s="5">
        <f>+'2H filtrado'!N674</f>
        <v>0</v>
      </c>
      <c r="D703" s="5">
        <f t="shared" si="12"/>
        <v>-206.99945682995201</v>
      </c>
    </row>
    <row r="704" spans="1:4">
      <c r="A704" s="2">
        <f>+'2H filtrado'!C675</f>
        <v>0</v>
      </c>
      <c r="B704" s="2">
        <f>+'2H filtrado'!D675</f>
        <v>0</v>
      </c>
      <c r="C704" s="5">
        <f>+'2H filtrado'!N675</f>
        <v>0</v>
      </c>
      <c r="D704" s="5">
        <f t="shared" si="12"/>
        <v>-206.99945682995201</v>
      </c>
    </row>
    <row r="705" spans="1:4">
      <c r="A705" s="2">
        <f>+'2H filtrado'!C676</f>
        <v>0</v>
      </c>
      <c r="B705" s="2">
        <f>+'2H filtrado'!D676</f>
        <v>0</v>
      </c>
      <c r="C705" s="5">
        <f>+'2H filtrado'!N676</f>
        <v>0</v>
      </c>
      <c r="D705" s="5">
        <f t="shared" si="12"/>
        <v>-206.99945682995201</v>
      </c>
    </row>
    <row r="706" spans="1:4">
      <c r="A706" s="2">
        <f>+'2H filtrado'!C677</f>
        <v>0</v>
      </c>
      <c r="B706" s="2">
        <f>+'2H filtrado'!D677</f>
        <v>0</v>
      </c>
      <c r="C706" s="5">
        <f>+'2H filtrado'!N677</f>
        <v>0</v>
      </c>
      <c r="D706" s="5">
        <f t="shared" si="12"/>
        <v>-206.99945682995201</v>
      </c>
    </row>
    <row r="707" spans="1:4">
      <c r="A707" s="2">
        <f>+'2H filtrado'!C678</f>
        <v>0</v>
      </c>
      <c r="B707" s="2">
        <f>+'2H filtrado'!D678</f>
        <v>0</v>
      </c>
      <c r="C707" s="5">
        <f>+'2H filtrado'!N678</f>
        <v>0</v>
      </c>
      <c r="D707" s="5">
        <f t="shared" si="12"/>
        <v>-206.99945682995201</v>
      </c>
    </row>
    <row r="708" spans="1:4">
      <c r="A708" s="2">
        <f>+'2H filtrado'!C679</f>
        <v>0</v>
      </c>
      <c r="B708" s="2">
        <f>+'2H filtrado'!D679</f>
        <v>0</v>
      </c>
      <c r="C708" s="5">
        <f>+'2H filtrado'!N679</f>
        <v>0</v>
      </c>
      <c r="D708" s="5">
        <f t="shared" si="12"/>
        <v>-206.99945682995201</v>
      </c>
    </row>
    <row r="709" spans="1:4">
      <c r="A709" s="2">
        <f>+'2H filtrado'!C680</f>
        <v>0</v>
      </c>
      <c r="B709" s="2">
        <f>+'2H filtrado'!D680</f>
        <v>0</v>
      </c>
      <c r="C709" s="5">
        <f>+'2H filtrado'!N680</f>
        <v>0</v>
      </c>
      <c r="D709" s="5">
        <f t="shared" si="12"/>
        <v>-206.99945682995201</v>
      </c>
    </row>
    <row r="710" spans="1:4">
      <c r="A710" s="2">
        <f>+'2H filtrado'!C681</f>
        <v>0</v>
      </c>
      <c r="B710" s="2">
        <f>+'2H filtrado'!D681</f>
        <v>0</v>
      </c>
      <c r="C710" s="5">
        <f>+'2H filtrado'!N681</f>
        <v>0</v>
      </c>
      <c r="D710" s="5">
        <f t="shared" si="12"/>
        <v>-206.99945682995201</v>
      </c>
    </row>
    <row r="711" spans="1:4">
      <c r="A711" s="2">
        <f>+'2H filtrado'!C682</f>
        <v>0</v>
      </c>
      <c r="B711" s="2">
        <f>+'2H filtrado'!D682</f>
        <v>0</v>
      </c>
      <c r="C711" s="5">
        <f>+'2H filtrado'!N682</f>
        <v>0</v>
      </c>
      <c r="D711" s="5">
        <f t="shared" si="12"/>
        <v>-206.99945682995201</v>
      </c>
    </row>
    <row r="712" spans="1:4">
      <c r="A712" s="2">
        <f>+'2H filtrado'!C683</f>
        <v>0</v>
      </c>
      <c r="B712" s="2">
        <f>+'2H filtrado'!D683</f>
        <v>0</v>
      </c>
      <c r="C712" s="5">
        <f>+'2H filtrado'!N683</f>
        <v>0</v>
      </c>
      <c r="D712" s="5">
        <f t="shared" si="12"/>
        <v>-206.99945682995201</v>
      </c>
    </row>
    <row r="713" spans="1:4">
      <c r="A713" s="2">
        <f>+'2H filtrado'!C684</f>
        <v>0</v>
      </c>
      <c r="B713" s="2">
        <f>+'2H filtrado'!D684</f>
        <v>0</v>
      </c>
      <c r="C713" s="5">
        <f>+'2H filtrado'!N684</f>
        <v>0</v>
      </c>
      <c r="D713" s="5">
        <f t="shared" si="12"/>
        <v>-206.99945682995201</v>
      </c>
    </row>
    <row r="714" spans="1:4">
      <c r="A714" s="2">
        <f>+'2H filtrado'!C685</f>
        <v>0</v>
      </c>
      <c r="B714" s="2">
        <f>+'2H filtrado'!D685</f>
        <v>0</v>
      </c>
      <c r="C714" s="5">
        <f>+'2H filtrado'!N685</f>
        <v>0</v>
      </c>
      <c r="D714" s="5">
        <f t="shared" si="12"/>
        <v>-206.99945682995201</v>
      </c>
    </row>
    <row r="715" spans="1:4">
      <c r="A715" s="2">
        <f>+'2H filtrado'!C686</f>
        <v>0</v>
      </c>
      <c r="B715" s="2">
        <f>+'2H filtrado'!D686</f>
        <v>0</v>
      </c>
      <c r="C715" s="5">
        <f>+'2H filtrado'!N686</f>
        <v>0</v>
      </c>
      <c r="D715" s="5">
        <f t="shared" si="12"/>
        <v>-206.99945682995201</v>
      </c>
    </row>
    <row r="716" spans="1:4">
      <c r="A716" s="2">
        <f>+'2H filtrado'!C687</f>
        <v>0</v>
      </c>
      <c r="B716" s="2">
        <f>+'2H filtrado'!D687</f>
        <v>0</v>
      </c>
      <c r="C716" s="5">
        <f>+'2H filtrado'!N687</f>
        <v>0</v>
      </c>
      <c r="D716" s="5">
        <f t="shared" si="12"/>
        <v>-206.99945682995201</v>
      </c>
    </row>
    <row r="717" spans="1:4">
      <c r="A717" s="2">
        <f>+'2H filtrado'!C688</f>
        <v>0</v>
      </c>
      <c r="B717" s="2">
        <f>+'2H filtrado'!D688</f>
        <v>0</v>
      </c>
      <c r="C717" s="5">
        <f>+'2H filtrado'!N688</f>
        <v>0</v>
      </c>
      <c r="D717" s="5">
        <f t="shared" si="12"/>
        <v>-206.99945682995201</v>
      </c>
    </row>
    <row r="718" spans="1:4">
      <c r="A718" s="2">
        <f>+'2H filtrado'!C689</f>
        <v>0</v>
      </c>
      <c r="B718" s="2">
        <f>+'2H filtrado'!D689</f>
        <v>0</v>
      </c>
      <c r="C718" s="5">
        <f>+'2H filtrado'!N689</f>
        <v>0</v>
      </c>
      <c r="D718" s="5">
        <f t="shared" si="12"/>
        <v>-206.99945682995201</v>
      </c>
    </row>
    <row r="719" spans="1:4">
      <c r="A719" s="2">
        <f>+'2H filtrado'!C690</f>
        <v>0</v>
      </c>
      <c r="B719" s="2">
        <f>+'2H filtrado'!D690</f>
        <v>0</v>
      </c>
      <c r="C719" s="5">
        <f>+'2H filtrado'!N690</f>
        <v>0</v>
      </c>
      <c r="D719" s="5">
        <f t="shared" si="12"/>
        <v>-206.99945682995201</v>
      </c>
    </row>
    <row r="720" spans="1:4">
      <c r="A720" s="2">
        <f>+'2H filtrado'!C691</f>
        <v>0</v>
      </c>
      <c r="B720" s="2">
        <f>+'2H filtrado'!D691</f>
        <v>0</v>
      </c>
      <c r="C720" s="5">
        <f>+'2H filtrado'!N691</f>
        <v>0</v>
      </c>
      <c r="D720" s="5">
        <f t="shared" si="12"/>
        <v>-206.99945682995201</v>
      </c>
    </row>
    <row r="721" spans="1:4">
      <c r="A721" s="2">
        <f>+'2H filtrado'!C692</f>
        <v>0</v>
      </c>
      <c r="B721" s="2">
        <f>+'2H filtrado'!D692</f>
        <v>0</v>
      </c>
      <c r="C721" s="5">
        <f>+'2H filtrado'!N692</f>
        <v>0</v>
      </c>
      <c r="D721" s="5">
        <f t="shared" si="12"/>
        <v>-206.99945682995201</v>
      </c>
    </row>
    <row r="722" spans="1:4">
      <c r="A722" s="2">
        <f>+'2H filtrado'!C693</f>
        <v>0</v>
      </c>
      <c r="B722" s="2">
        <f>+'2H filtrado'!D693</f>
        <v>0</v>
      </c>
      <c r="C722" s="5">
        <f>+'2H filtrado'!N693</f>
        <v>0</v>
      </c>
      <c r="D722" s="5">
        <f t="shared" si="12"/>
        <v>-206.99945682995201</v>
      </c>
    </row>
    <row r="723" spans="1:4">
      <c r="A723" s="2">
        <f>+'2H filtrado'!C694</f>
        <v>0</v>
      </c>
      <c r="B723" s="2">
        <f>+'2H filtrado'!D694</f>
        <v>0</v>
      </c>
      <c r="C723" s="5">
        <f>+'2H filtrado'!N694</f>
        <v>0</v>
      </c>
      <c r="D723" s="5">
        <f t="shared" si="12"/>
        <v>-206.99945682995201</v>
      </c>
    </row>
    <row r="724" spans="1:4">
      <c r="A724" s="2">
        <f>+'2H filtrado'!C695</f>
        <v>0</v>
      </c>
      <c r="B724" s="2">
        <f>+'2H filtrado'!D695</f>
        <v>0</v>
      </c>
      <c r="C724" s="5">
        <f>+'2H filtrado'!N695</f>
        <v>0</v>
      </c>
      <c r="D724" s="5">
        <f t="shared" si="12"/>
        <v>-206.99945682995201</v>
      </c>
    </row>
    <row r="725" spans="1:4">
      <c r="A725" s="2">
        <f>+'2H filtrado'!C696</f>
        <v>0</v>
      </c>
      <c r="B725" s="2">
        <f>+'2H filtrado'!D696</f>
        <v>0</v>
      </c>
      <c r="C725" s="5">
        <f>+'2H filtrado'!N696</f>
        <v>0</v>
      </c>
      <c r="D725" s="5">
        <f t="shared" si="12"/>
        <v>-206.99945682995201</v>
      </c>
    </row>
    <row r="726" spans="1:4">
      <c r="A726" s="2">
        <f>+'2H filtrado'!C697</f>
        <v>0</v>
      </c>
      <c r="B726" s="2">
        <f>+'2H filtrado'!D697</f>
        <v>0</v>
      </c>
      <c r="C726" s="5">
        <f>+'2H filtrado'!N697</f>
        <v>0</v>
      </c>
      <c r="D726" s="5">
        <f t="shared" si="12"/>
        <v>-206.99945682995201</v>
      </c>
    </row>
    <row r="727" spans="1:4">
      <c r="A727" s="2">
        <f>+'2H filtrado'!C698</f>
        <v>0</v>
      </c>
      <c r="B727" s="2">
        <f>+'2H filtrado'!D698</f>
        <v>0</v>
      </c>
      <c r="C727" s="5">
        <f>+'2H filtrado'!N698</f>
        <v>0</v>
      </c>
      <c r="D727" s="5">
        <f t="shared" si="12"/>
        <v>-206.99945682995201</v>
      </c>
    </row>
    <row r="728" spans="1:4">
      <c r="A728" s="2">
        <f>+'2H filtrado'!C699</f>
        <v>0</v>
      </c>
      <c r="B728" s="2">
        <f>+'2H filtrado'!D699</f>
        <v>0</v>
      </c>
      <c r="C728" s="5">
        <f>+'2H filtrado'!N699</f>
        <v>0</v>
      </c>
      <c r="D728" s="5">
        <f t="shared" si="12"/>
        <v>-206.99945682995201</v>
      </c>
    </row>
    <row r="729" spans="1:4">
      <c r="A729" s="2">
        <f>+'2H filtrado'!C700</f>
        <v>0</v>
      </c>
      <c r="B729" s="2">
        <f>+'2H filtrado'!D700</f>
        <v>0</v>
      </c>
      <c r="C729" s="5">
        <f>+'2H filtrado'!N700</f>
        <v>0</v>
      </c>
      <c r="D729" s="5">
        <f t="shared" si="12"/>
        <v>-206.99945682995201</v>
      </c>
    </row>
    <row r="730" spans="1:4">
      <c r="A730" s="2">
        <f>+'2H filtrado'!C701</f>
        <v>0</v>
      </c>
      <c r="B730" s="2">
        <f>+'2H filtrado'!D701</f>
        <v>0</v>
      </c>
      <c r="C730" s="5">
        <f>+'2H filtrado'!N701</f>
        <v>0</v>
      </c>
      <c r="D730" s="5">
        <f t="shared" si="12"/>
        <v>-206.99945682995201</v>
      </c>
    </row>
    <row r="731" spans="1:4">
      <c r="A731" s="2">
        <f>+'2H filtrado'!C702</f>
        <v>0</v>
      </c>
      <c r="B731" s="2">
        <f>+'2H filtrado'!D702</f>
        <v>0</v>
      </c>
      <c r="C731" s="5">
        <f>+'2H filtrado'!N702</f>
        <v>0</v>
      </c>
      <c r="D731" s="5">
        <f t="shared" si="12"/>
        <v>-206.99945682995201</v>
      </c>
    </row>
    <row r="732" spans="1:4">
      <c r="A732" s="2">
        <f>+'2H filtrado'!C703</f>
        <v>0</v>
      </c>
      <c r="B732" s="2">
        <f>+'2H filtrado'!D703</f>
        <v>0</v>
      </c>
      <c r="C732" s="5">
        <f>+'2H filtrado'!N703</f>
        <v>0</v>
      </c>
      <c r="D732" s="5">
        <f t="shared" si="12"/>
        <v>-206.99945682995201</v>
      </c>
    </row>
    <row r="733" spans="1:4">
      <c r="A733" s="2">
        <f>+'2H filtrado'!C704</f>
        <v>0</v>
      </c>
      <c r="B733" s="2">
        <f>+'2H filtrado'!D704</f>
        <v>0</v>
      </c>
      <c r="C733" s="5">
        <f>+'2H filtrado'!N704</f>
        <v>0</v>
      </c>
      <c r="D733" s="5">
        <f t="shared" si="12"/>
        <v>-206.99945682995201</v>
      </c>
    </row>
    <row r="734" spans="1:4">
      <c r="A734" s="2">
        <f>+'2H filtrado'!C705</f>
        <v>0</v>
      </c>
      <c r="B734" s="2">
        <f>+'2H filtrado'!D705</f>
        <v>0</v>
      </c>
      <c r="C734" s="5">
        <f>+'2H filtrado'!N705</f>
        <v>0</v>
      </c>
      <c r="D734" s="5">
        <f t="shared" si="12"/>
        <v>-206.99945682995201</v>
      </c>
    </row>
    <row r="735" spans="1:4">
      <c r="A735" s="2">
        <f>+'2H filtrado'!C706</f>
        <v>0</v>
      </c>
      <c r="B735" s="2">
        <f>+'2H filtrado'!D706</f>
        <v>0</v>
      </c>
      <c r="C735" s="5">
        <f>+'2H filtrado'!N706</f>
        <v>0</v>
      </c>
      <c r="D735" s="5">
        <f t="shared" si="12"/>
        <v>-206.99945682995201</v>
      </c>
    </row>
    <row r="736" spans="1:4">
      <c r="A736" s="2">
        <f>+'2H filtrado'!C707</f>
        <v>0</v>
      </c>
      <c r="B736" s="2">
        <f>+'2H filtrado'!D707</f>
        <v>0</v>
      </c>
      <c r="C736" s="5">
        <f>+'2H filtrado'!N707</f>
        <v>0</v>
      </c>
      <c r="D736" s="5">
        <f t="shared" ref="D736:D799" si="13">+(C736-$N$22)/$N$21</f>
        <v>-206.99945682995201</v>
      </c>
    </row>
    <row r="737" spans="1:4">
      <c r="A737" s="2">
        <f>+'2H filtrado'!C708</f>
        <v>0</v>
      </c>
      <c r="B737" s="2">
        <f>+'2H filtrado'!D708</f>
        <v>0</v>
      </c>
      <c r="C737" s="5">
        <f>+'2H filtrado'!N708</f>
        <v>0</v>
      </c>
      <c r="D737" s="5">
        <f t="shared" si="13"/>
        <v>-206.99945682995201</v>
      </c>
    </row>
    <row r="738" spans="1:4">
      <c r="A738" s="2">
        <f>+'2H filtrado'!C709</f>
        <v>0</v>
      </c>
      <c r="B738" s="2">
        <f>+'2H filtrado'!D709</f>
        <v>0</v>
      </c>
      <c r="C738" s="5">
        <f>+'2H filtrado'!N709</f>
        <v>0</v>
      </c>
      <c r="D738" s="5">
        <f t="shared" si="13"/>
        <v>-206.99945682995201</v>
      </c>
    </row>
    <row r="739" spans="1:4">
      <c r="A739" s="2">
        <f>+'2H filtrado'!C710</f>
        <v>0</v>
      </c>
      <c r="B739" s="2">
        <f>+'2H filtrado'!D710</f>
        <v>0</v>
      </c>
      <c r="C739" s="5">
        <f>+'2H filtrado'!N710</f>
        <v>0</v>
      </c>
      <c r="D739" s="5">
        <f t="shared" si="13"/>
        <v>-206.99945682995201</v>
      </c>
    </row>
    <row r="740" spans="1:4">
      <c r="A740" s="2">
        <f>+'2H filtrado'!C711</f>
        <v>0</v>
      </c>
      <c r="B740" s="2">
        <f>+'2H filtrado'!D711</f>
        <v>0</v>
      </c>
      <c r="C740" s="5">
        <f>+'2H filtrado'!N711</f>
        <v>0</v>
      </c>
      <c r="D740" s="5">
        <f t="shared" si="13"/>
        <v>-206.99945682995201</v>
      </c>
    </row>
    <row r="741" spans="1:4">
      <c r="A741" s="2">
        <f>+'2H filtrado'!C712</f>
        <v>0</v>
      </c>
      <c r="B741" s="2">
        <f>+'2H filtrado'!D712</f>
        <v>0</v>
      </c>
      <c r="C741" s="5">
        <f>+'2H filtrado'!N712</f>
        <v>0</v>
      </c>
      <c r="D741" s="5">
        <f t="shared" si="13"/>
        <v>-206.99945682995201</v>
      </c>
    </row>
    <row r="742" spans="1:4">
      <c r="A742" s="2">
        <f>+'2H filtrado'!C713</f>
        <v>0</v>
      </c>
      <c r="B742" s="2">
        <f>+'2H filtrado'!D713</f>
        <v>0</v>
      </c>
      <c r="C742" s="5">
        <f>+'2H filtrado'!N713</f>
        <v>0</v>
      </c>
      <c r="D742" s="5">
        <f t="shared" si="13"/>
        <v>-206.99945682995201</v>
      </c>
    </row>
    <row r="743" spans="1:4">
      <c r="A743" s="2">
        <f>+'2H filtrado'!C714</f>
        <v>0</v>
      </c>
      <c r="B743" s="2">
        <f>+'2H filtrado'!D714</f>
        <v>0</v>
      </c>
      <c r="C743" s="5">
        <f>+'2H filtrado'!N714</f>
        <v>0</v>
      </c>
      <c r="D743" s="5">
        <f t="shared" si="13"/>
        <v>-206.99945682995201</v>
      </c>
    </row>
    <row r="744" spans="1:4">
      <c r="A744" s="2">
        <f>+'2H filtrado'!C715</f>
        <v>0</v>
      </c>
      <c r="B744" s="2">
        <f>+'2H filtrado'!D715</f>
        <v>0</v>
      </c>
      <c r="C744" s="5">
        <f>+'2H filtrado'!N715</f>
        <v>0</v>
      </c>
      <c r="D744" s="5">
        <f t="shared" si="13"/>
        <v>-206.99945682995201</v>
      </c>
    </row>
    <row r="745" spans="1:4">
      <c r="A745" s="2">
        <f>+'2H filtrado'!C716</f>
        <v>0</v>
      </c>
      <c r="B745" s="2">
        <f>+'2H filtrado'!D716</f>
        <v>0</v>
      </c>
      <c r="C745" s="5">
        <f>+'2H filtrado'!N716</f>
        <v>0</v>
      </c>
      <c r="D745" s="5">
        <f t="shared" si="13"/>
        <v>-206.99945682995201</v>
      </c>
    </row>
    <row r="746" spans="1:4">
      <c r="A746" s="2">
        <f>+'2H filtrado'!C717</f>
        <v>0</v>
      </c>
      <c r="B746" s="2">
        <f>+'2H filtrado'!D717</f>
        <v>0</v>
      </c>
      <c r="C746" s="5">
        <f>+'2H filtrado'!N717</f>
        <v>0</v>
      </c>
      <c r="D746" s="5">
        <f t="shared" si="13"/>
        <v>-206.99945682995201</v>
      </c>
    </row>
    <row r="747" spans="1:4">
      <c r="A747" s="2">
        <f>+'2H filtrado'!C718</f>
        <v>0</v>
      </c>
      <c r="B747" s="2">
        <f>+'2H filtrado'!D718</f>
        <v>0</v>
      </c>
      <c r="C747" s="5">
        <f>+'2H filtrado'!N718</f>
        <v>0</v>
      </c>
      <c r="D747" s="5">
        <f t="shared" si="13"/>
        <v>-206.99945682995201</v>
      </c>
    </row>
    <row r="748" spans="1:4">
      <c r="A748" s="2">
        <f>+'2H filtrado'!C719</f>
        <v>0</v>
      </c>
      <c r="B748" s="2">
        <f>+'2H filtrado'!D719</f>
        <v>0</v>
      </c>
      <c r="C748" s="5">
        <f>+'2H filtrado'!N719</f>
        <v>0</v>
      </c>
      <c r="D748" s="5">
        <f t="shared" si="13"/>
        <v>-206.99945682995201</v>
      </c>
    </row>
    <row r="749" spans="1:4">
      <c r="A749" s="2">
        <f>+'2H filtrado'!C720</f>
        <v>0</v>
      </c>
      <c r="B749" s="2">
        <f>+'2H filtrado'!D720</f>
        <v>0</v>
      </c>
      <c r="C749" s="5">
        <f>+'2H filtrado'!N720</f>
        <v>0</v>
      </c>
      <c r="D749" s="5">
        <f t="shared" si="13"/>
        <v>-206.99945682995201</v>
      </c>
    </row>
    <row r="750" spans="1:4">
      <c r="A750" s="2">
        <f>+'2H filtrado'!C721</f>
        <v>0</v>
      </c>
      <c r="B750" s="2">
        <f>+'2H filtrado'!D721</f>
        <v>0</v>
      </c>
      <c r="C750" s="5">
        <f>+'2H filtrado'!N721</f>
        <v>0</v>
      </c>
      <c r="D750" s="5">
        <f t="shared" si="13"/>
        <v>-206.99945682995201</v>
      </c>
    </row>
    <row r="751" spans="1:4">
      <c r="A751" s="2">
        <f>+'2H filtrado'!C722</f>
        <v>0</v>
      </c>
      <c r="B751" s="2">
        <f>+'2H filtrado'!D722</f>
        <v>0</v>
      </c>
      <c r="C751" s="5">
        <f>+'2H filtrado'!N722</f>
        <v>0</v>
      </c>
      <c r="D751" s="5">
        <f t="shared" si="13"/>
        <v>-206.99945682995201</v>
      </c>
    </row>
    <row r="752" spans="1:4">
      <c r="A752" s="2">
        <f>+'2H filtrado'!C723</f>
        <v>0</v>
      </c>
      <c r="B752" s="2">
        <f>+'2H filtrado'!D723</f>
        <v>0</v>
      </c>
      <c r="C752" s="5">
        <f>+'2H filtrado'!N723</f>
        <v>0</v>
      </c>
      <c r="D752" s="5">
        <f t="shared" si="13"/>
        <v>-206.99945682995201</v>
      </c>
    </row>
    <row r="753" spans="1:4">
      <c r="A753" s="2">
        <f>+'2H filtrado'!C724</f>
        <v>0</v>
      </c>
      <c r="B753" s="2">
        <f>+'2H filtrado'!D724</f>
        <v>0</v>
      </c>
      <c r="C753" s="5">
        <f>+'2H filtrado'!N724</f>
        <v>0</v>
      </c>
      <c r="D753" s="5">
        <f t="shared" si="13"/>
        <v>-206.99945682995201</v>
      </c>
    </row>
    <row r="754" spans="1:4">
      <c r="A754" s="2">
        <f>+'2H filtrado'!C725</f>
        <v>0</v>
      </c>
      <c r="B754" s="2">
        <f>+'2H filtrado'!D725</f>
        <v>0</v>
      </c>
      <c r="C754" s="5">
        <f>+'2H filtrado'!N725</f>
        <v>0</v>
      </c>
      <c r="D754" s="5">
        <f t="shared" si="13"/>
        <v>-206.99945682995201</v>
      </c>
    </row>
    <row r="755" spans="1:4">
      <c r="A755" s="2">
        <f>+'2H filtrado'!C726</f>
        <v>0</v>
      </c>
      <c r="B755" s="2">
        <f>+'2H filtrado'!D726</f>
        <v>0</v>
      </c>
      <c r="C755" s="5">
        <f>+'2H filtrado'!N726</f>
        <v>0</v>
      </c>
      <c r="D755" s="5">
        <f t="shared" si="13"/>
        <v>-206.99945682995201</v>
      </c>
    </row>
    <row r="756" spans="1:4">
      <c r="A756" s="2">
        <f>+'2H filtrado'!C727</f>
        <v>0</v>
      </c>
      <c r="B756" s="2">
        <f>+'2H filtrado'!D727</f>
        <v>0</v>
      </c>
      <c r="C756" s="5">
        <f>+'2H filtrado'!N727</f>
        <v>0</v>
      </c>
      <c r="D756" s="5">
        <f t="shared" si="13"/>
        <v>-206.99945682995201</v>
      </c>
    </row>
    <row r="757" spans="1:4">
      <c r="A757" s="2">
        <f>+'2H filtrado'!C728</f>
        <v>0</v>
      </c>
      <c r="B757" s="2">
        <f>+'2H filtrado'!D728</f>
        <v>0</v>
      </c>
      <c r="C757" s="5">
        <f>+'2H filtrado'!N728</f>
        <v>0</v>
      </c>
      <c r="D757" s="5">
        <f t="shared" si="13"/>
        <v>-206.99945682995201</v>
      </c>
    </row>
    <row r="758" spans="1:4">
      <c r="A758" s="2">
        <f>+'2H filtrado'!C729</f>
        <v>0</v>
      </c>
      <c r="B758" s="2">
        <f>+'2H filtrado'!D729</f>
        <v>0</v>
      </c>
      <c r="C758" s="5">
        <f>+'2H filtrado'!N729</f>
        <v>0</v>
      </c>
      <c r="D758" s="5">
        <f t="shared" si="13"/>
        <v>-206.99945682995201</v>
      </c>
    </row>
    <row r="759" spans="1:4">
      <c r="A759" s="2">
        <f>+'2H filtrado'!C730</f>
        <v>0</v>
      </c>
      <c r="B759" s="2">
        <f>+'2H filtrado'!D730</f>
        <v>0</v>
      </c>
      <c r="C759" s="5">
        <f>+'2H filtrado'!N730</f>
        <v>0</v>
      </c>
      <c r="D759" s="5">
        <f t="shared" si="13"/>
        <v>-206.99945682995201</v>
      </c>
    </row>
    <row r="760" spans="1:4">
      <c r="A760" s="2">
        <f>+'2H filtrado'!C731</f>
        <v>0</v>
      </c>
      <c r="B760" s="2">
        <f>+'2H filtrado'!D731</f>
        <v>0</v>
      </c>
      <c r="C760" s="5">
        <f>+'2H filtrado'!N731</f>
        <v>0</v>
      </c>
      <c r="D760" s="5">
        <f t="shared" si="13"/>
        <v>-206.99945682995201</v>
      </c>
    </row>
    <row r="761" spans="1:4">
      <c r="A761" s="2">
        <f>+'2H filtrado'!C732</f>
        <v>0</v>
      </c>
      <c r="B761" s="2">
        <f>+'2H filtrado'!D732</f>
        <v>0</v>
      </c>
      <c r="C761" s="5">
        <f>+'2H filtrado'!N732</f>
        <v>0</v>
      </c>
      <c r="D761" s="5">
        <f t="shared" si="13"/>
        <v>-206.99945682995201</v>
      </c>
    </row>
    <row r="762" spans="1:4">
      <c r="A762" s="2">
        <f>+'2H filtrado'!C733</f>
        <v>0</v>
      </c>
      <c r="B762" s="2">
        <f>+'2H filtrado'!D733</f>
        <v>0</v>
      </c>
      <c r="C762" s="5">
        <f>+'2H filtrado'!N733</f>
        <v>0</v>
      </c>
      <c r="D762" s="5">
        <f t="shared" si="13"/>
        <v>-206.99945682995201</v>
      </c>
    </row>
    <row r="763" spans="1:4">
      <c r="A763" s="2">
        <f>+'2H filtrado'!C734</f>
        <v>0</v>
      </c>
      <c r="B763" s="2">
        <f>+'2H filtrado'!D734</f>
        <v>0</v>
      </c>
      <c r="C763" s="5">
        <f>+'2H filtrado'!N734</f>
        <v>0</v>
      </c>
      <c r="D763" s="5">
        <f t="shared" si="13"/>
        <v>-206.99945682995201</v>
      </c>
    </row>
    <row r="764" spans="1:4">
      <c r="A764" s="2">
        <f>+'2H filtrado'!C735</f>
        <v>0</v>
      </c>
      <c r="B764" s="2">
        <f>+'2H filtrado'!D735</f>
        <v>0</v>
      </c>
      <c r="C764" s="5">
        <f>+'2H filtrado'!N735</f>
        <v>0</v>
      </c>
      <c r="D764" s="5">
        <f t="shared" si="13"/>
        <v>-206.99945682995201</v>
      </c>
    </row>
    <row r="765" spans="1:4">
      <c r="A765" s="2">
        <f>+'2H filtrado'!C736</f>
        <v>0</v>
      </c>
      <c r="B765" s="2">
        <f>+'2H filtrado'!D736</f>
        <v>0</v>
      </c>
      <c r="C765" s="5">
        <f>+'2H filtrado'!N736</f>
        <v>0</v>
      </c>
      <c r="D765" s="5">
        <f t="shared" si="13"/>
        <v>-206.99945682995201</v>
      </c>
    </row>
    <row r="766" spans="1:4">
      <c r="A766" s="2">
        <f>+'2H filtrado'!C737</f>
        <v>0</v>
      </c>
      <c r="B766" s="2">
        <f>+'2H filtrado'!D737</f>
        <v>0</v>
      </c>
      <c r="C766" s="5">
        <f>+'2H filtrado'!N737</f>
        <v>0</v>
      </c>
      <c r="D766" s="5">
        <f t="shared" si="13"/>
        <v>-206.99945682995201</v>
      </c>
    </row>
    <row r="767" spans="1:4">
      <c r="A767" s="2">
        <f>+'2H filtrado'!C738</f>
        <v>0</v>
      </c>
      <c r="B767" s="2">
        <f>+'2H filtrado'!D738</f>
        <v>0</v>
      </c>
      <c r="C767" s="5">
        <f>+'2H filtrado'!N738</f>
        <v>0</v>
      </c>
      <c r="D767" s="5">
        <f t="shared" si="13"/>
        <v>-206.99945682995201</v>
      </c>
    </row>
    <row r="768" spans="1:4">
      <c r="A768" s="2">
        <f>+'2H filtrado'!C739</f>
        <v>0</v>
      </c>
      <c r="B768" s="2">
        <f>+'2H filtrado'!D739</f>
        <v>0</v>
      </c>
      <c r="C768" s="5">
        <f>+'2H filtrado'!N739</f>
        <v>0</v>
      </c>
      <c r="D768" s="5">
        <f t="shared" si="13"/>
        <v>-206.99945682995201</v>
      </c>
    </row>
    <row r="769" spans="1:4">
      <c r="A769" s="2">
        <f>+'2H filtrado'!C740</f>
        <v>0</v>
      </c>
      <c r="B769" s="2">
        <f>+'2H filtrado'!D740</f>
        <v>0</v>
      </c>
      <c r="C769" s="5">
        <f>+'2H filtrado'!N740</f>
        <v>0</v>
      </c>
      <c r="D769" s="5">
        <f t="shared" si="13"/>
        <v>-206.99945682995201</v>
      </c>
    </row>
    <row r="770" spans="1:4">
      <c r="A770" s="2">
        <f>+'2H filtrado'!C741</f>
        <v>0</v>
      </c>
      <c r="B770" s="2">
        <f>+'2H filtrado'!D741</f>
        <v>0</v>
      </c>
      <c r="C770" s="5">
        <f>+'2H filtrado'!N741</f>
        <v>0</v>
      </c>
      <c r="D770" s="5">
        <f t="shared" si="13"/>
        <v>-206.99945682995201</v>
      </c>
    </row>
    <row r="771" spans="1:4">
      <c r="A771" s="2">
        <f>+'2H filtrado'!C742</f>
        <v>0</v>
      </c>
      <c r="B771" s="2">
        <f>+'2H filtrado'!D742</f>
        <v>0</v>
      </c>
      <c r="C771" s="5">
        <f>+'2H filtrado'!N742</f>
        <v>0</v>
      </c>
      <c r="D771" s="5">
        <f t="shared" si="13"/>
        <v>-206.99945682995201</v>
      </c>
    </row>
    <row r="772" spans="1:4">
      <c r="A772" s="2">
        <f>+'2H filtrado'!C743</f>
        <v>0</v>
      </c>
      <c r="B772" s="2">
        <f>+'2H filtrado'!D743</f>
        <v>0</v>
      </c>
      <c r="C772" s="5">
        <f>+'2H filtrado'!N743</f>
        <v>0</v>
      </c>
      <c r="D772" s="5">
        <f t="shared" si="13"/>
        <v>-206.99945682995201</v>
      </c>
    </row>
    <row r="773" spans="1:4">
      <c r="A773" s="2">
        <f>+'2H filtrado'!C744</f>
        <v>0</v>
      </c>
      <c r="B773" s="2">
        <f>+'2H filtrado'!D744</f>
        <v>0</v>
      </c>
      <c r="C773" s="5">
        <f>+'2H filtrado'!N744</f>
        <v>0</v>
      </c>
      <c r="D773" s="5">
        <f t="shared" si="13"/>
        <v>-206.99945682995201</v>
      </c>
    </row>
    <row r="774" spans="1:4">
      <c r="A774" s="2">
        <f>+'2H filtrado'!C745</f>
        <v>0</v>
      </c>
      <c r="B774" s="2">
        <f>+'2H filtrado'!D745</f>
        <v>0</v>
      </c>
      <c r="C774" s="5">
        <f>+'2H filtrado'!N745</f>
        <v>0</v>
      </c>
      <c r="D774" s="5">
        <f t="shared" si="13"/>
        <v>-206.99945682995201</v>
      </c>
    </row>
    <row r="775" spans="1:4">
      <c r="A775" s="2">
        <f>+'2H filtrado'!C746</f>
        <v>0</v>
      </c>
      <c r="B775" s="2">
        <f>+'2H filtrado'!D746</f>
        <v>0</v>
      </c>
      <c r="C775" s="5">
        <f>+'2H filtrado'!N746</f>
        <v>0</v>
      </c>
      <c r="D775" s="5">
        <f t="shared" si="13"/>
        <v>-206.99945682995201</v>
      </c>
    </row>
    <row r="776" spans="1:4">
      <c r="A776" s="2">
        <f>+'2H filtrado'!C747</f>
        <v>0</v>
      </c>
      <c r="B776" s="2">
        <f>+'2H filtrado'!D747</f>
        <v>0</v>
      </c>
      <c r="C776" s="5">
        <f>+'2H filtrado'!N747</f>
        <v>0</v>
      </c>
      <c r="D776" s="5">
        <f t="shared" si="13"/>
        <v>-206.99945682995201</v>
      </c>
    </row>
    <row r="777" spans="1:4">
      <c r="A777" s="2">
        <f>+'2H filtrado'!C748</f>
        <v>0</v>
      </c>
      <c r="B777" s="2">
        <f>+'2H filtrado'!D748</f>
        <v>0</v>
      </c>
      <c r="C777" s="5">
        <f>+'2H filtrado'!N748</f>
        <v>0</v>
      </c>
      <c r="D777" s="5">
        <f t="shared" si="13"/>
        <v>-206.99945682995201</v>
      </c>
    </row>
    <row r="778" spans="1:4">
      <c r="A778" s="2">
        <f>+'2H filtrado'!C749</f>
        <v>0</v>
      </c>
      <c r="B778" s="2">
        <f>+'2H filtrado'!D749</f>
        <v>0</v>
      </c>
      <c r="C778" s="5">
        <f>+'2H filtrado'!N749</f>
        <v>0</v>
      </c>
      <c r="D778" s="5">
        <f t="shared" si="13"/>
        <v>-206.99945682995201</v>
      </c>
    </row>
    <row r="779" spans="1:4">
      <c r="A779" s="2">
        <f>+'2H filtrado'!C750</f>
        <v>0</v>
      </c>
      <c r="B779" s="2">
        <f>+'2H filtrado'!D750</f>
        <v>0</v>
      </c>
      <c r="C779" s="5">
        <f>+'2H filtrado'!N750</f>
        <v>0</v>
      </c>
      <c r="D779" s="5">
        <f t="shared" si="13"/>
        <v>-206.99945682995201</v>
      </c>
    </row>
    <row r="780" spans="1:4">
      <c r="A780" s="2">
        <f>+'2H filtrado'!C751</f>
        <v>0</v>
      </c>
      <c r="B780" s="2">
        <f>+'2H filtrado'!D751</f>
        <v>0</v>
      </c>
      <c r="C780" s="5">
        <f>+'2H filtrado'!N751</f>
        <v>0</v>
      </c>
      <c r="D780" s="5">
        <f t="shared" si="13"/>
        <v>-206.99945682995201</v>
      </c>
    </row>
    <row r="781" spans="1:4">
      <c r="A781" s="2">
        <f>+'2H filtrado'!C752</f>
        <v>0</v>
      </c>
      <c r="B781" s="2">
        <f>+'2H filtrado'!D752</f>
        <v>0</v>
      </c>
      <c r="C781" s="5">
        <f>+'2H filtrado'!N752</f>
        <v>0</v>
      </c>
      <c r="D781" s="5">
        <f t="shared" si="13"/>
        <v>-206.99945682995201</v>
      </c>
    </row>
    <row r="782" spans="1:4">
      <c r="A782" s="2">
        <f>+'2H filtrado'!C753</f>
        <v>0</v>
      </c>
      <c r="B782" s="2">
        <f>+'2H filtrado'!D753</f>
        <v>0</v>
      </c>
      <c r="C782" s="5">
        <f>+'2H filtrado'!N753</f>
        <v>0</v>
      </c>
      <c r="D782" s="5">
        <f t="shared" si="13"/>
        <v>-206.99945682995201</v>
      </c>
    </row>
    <row r="783" spans="1:4">
      <c r="A783" s="2">
        <f>+'2H filtrado'!C754</f>
        <v>0</v>
      </c>
      <c r="B783" s="2">
        <f>+'2H filtrado'!D754</f>
        <v>0</v>
      </c>
      <c r="C783" s="5">
        <f>+'2H filtrado'!N754</f>
        <v>0</v>
      </c>
      <c r="D783" s="5">
        <f t="shared" si="13"/>
        <v>-206.99945682995201</v>
      </c>
    </row>
    <row r="784" spans="1:4">
      <c r="A784" s="2">
        <f>+'2H filtrado'!C755</f>
        <v>0</v>
      </c>
      <c r="B784" s="2">
        <f>+'2H filtrado'!D755</f>
        <v>0</v>
      </c>
      <c r="C784" s="5">
        <f>+'2H filtrado'!N755</f>
        <v>0</v>
      </c>
      <c r="D784" s="5">
        <f t="shared" si="13"/>
        <v>-206.99945682995201</v>
      </c>
    </row>
    <row r="785" spans="1:4">
      <c r="A785" s="2">
        <f>+'2H filtrado'!C756</f>
        <v>0</v>
      </c>
      <c r="B785" s="2">
        <f>+'2H filtrado'!D756</f>
        <v>0</v>
      </c>
      <c r="C785" s="5">
        <f>+'2H filtrado'!N756</f>
        <v>0</v>
      </c>
      <c r="D785" s="5">
        <f t="shared" si="13"/>
        <v>-206.99945682995201</v>
      </c>
    </row>
    <row r="786" spans="1:4">
      <c r="A786" s="2">
        <f>+'2H filtrado'!C757</f>
        <v>0</v>
      </c>
      <c r="B786" s="2">
        <f>+'2H filtrado'!D757</f>
        <v>0</v>
      </c>
      <c r="C786" s="5">
        <f>+'2H filtrado'!N757</f>
        <v>0</v>
      </c>
      <c r="D786" s="5">
        <f t="shared" si="13"/>
        <v>-206.99945682995201</v>
      </c>
    </row>
    <row r="787" spans="1:4">
      <c r="A787" s="2">
        <f>+'2H filtrado'!C758</f>
        <v>0</v>
      </c>
      <c r="B787" s="2">
        <f>+'2H filtrado'!D758</f>
        <v>0</v>
      </c>
      <c r="C787" s="5">
        <f>+'2H filtrado'!N758</f>
        <v>0</v>
      </c>
      <c r="D787" s="5">
        <f t="shared" si="13"/>
        <v>-206.99945682995201</v>
      </c>
    </row>
    <row r="788" spans="1:4">
      <c r="A788" s="2">
        <f>+'2H filtrado'!C759</f>
        <v>0</v>
      </c>
      <c r="B788" s="2">
        <f>+'2H filtrado'!D759</f>
        <v>0</v>
      </c>
      <c r="C788" s="5">
        <f>+'2H filtrado'!N759</f>
        <v>0</v>
      </c>
      <c r="D788" s="5">
        <f t="shared" si="13"/>
        <v>-206.99945682995201</v>
      </c>
    </row>
    <row r="789" spans="1:4">
      <c r="A789" s="2">
        <f>+'2H filtrado'!C760</f>
        <v>0</v>
      </c>
      <c r="B789" s="2">
        <f>+'2H filtrado'!D760</f>
        <v>0</v>
      </c>
      <c r="C789" s="5">
        <f>+'2H filtrado'!N760</f>
        <v>0</v>
      </c>
      <c r="D789" s="5">
        <f t="shared" si="13"/>
        <v>-206.99945682995201</v>
      </c>
    </row>
    <row r="790" spans="1:4">
      <c r="A790" s="2">
        <f>+'2H filtrado'!C761</f>
        <v>0</v>
      </c>
      <c r="B790" s="2">
        <f>+'2H filtrado'!D761</f>
        <v>0</v>
      </c>
      <c r="C790" s="5">
        <f>+'2H filtrado'!N761</f>
        <v>0</v>
      </c>
      <c r="D790" s="5">
        <f t="shared" si="13"/>
        <v>-206.99945682995201</v>
      </c>
    </row>
    <row r="791" spans="1:4">
      <c r="A791" s="2">
        <f>+'2H filtrado'!C762</f>
        <v>0</v>
      </c>
      <c r="B791" s="2">
        <f>+'2H filtrado'!D762</f>
        <v>0</v>
      </c>
      <c r="C791" s="5">
        <f>+'2H filtrado'!N762</f>
        <v>0</v>
      </c>
      <c r="D791" s="5">
        <f t="shared" si="13"/>
        <v>-206.99945682995201</v>
      </c>
    </row>
    <row r="792" spans="1:4">
      <c r="A792" s="2">
        <f>+'2H filtrado'!C763</f>
        <v>0</v>
      </c>
      <c r="B792" s="2">
        <f>+'2H filtrado'!D763</f>
        <v>0</v>
      </c>
      <c r="C792" s="5">
        <f>+'2H filtrado'!N763</f>
        <v>0</v>
      </c>
      <c r="D792" s="5">
        <f t="shared" si="13"/>
        <v>-206.99945682995201</v>
      </c>
    </row>
    <row r="793" spans="1:4">
      <c r="A793" s="2">
        <f>+'2H filtrado'!C764</f>
        <v>0</v>
      </c>
      <c r="B793" s="2">
        <f>+'2H filtrado'!D764</f>
        <v>0</v>
      </c>
      <c r="C793" s="5">
        <f>+'2H filtrado'!N764</f>
        <v>0</v>
      </c>
      <c r="D793" s="5">
        <f t="shared" si="13"/>
        <v>-206.99945682995201</v>
      </c>
    </row>
    <row r="794" spans="1:4">
      <c r="A794" s="2">
        <f>+'2H filtrado'!C765</f>
        <v>0</v>
      </c>
      <c r="B794" s="2">
        <f>+'2H filtrado'!D765</f>
        <v>0</v>
      </c>
      <c r="C794" s="5">
        <f>+'2H filtrado'!N765</f>
        <v>0</v>
      </c>
      <c r="D794" s="5">
        <f t="shared" si="13"/>
        <v>-206.99945682995201</v>
      </c>
    </row>
    <row r="795" spans="1:4">
      <c r="A795" s="2">
        <f>+'2H filtrado'!C766</f>
        <v>0</v>
      </c>
      <c r="B795" s="2">
        <f>+'2H filtrado'!D766</f>
        <v>0</v>
      </c>
      <c r="C795" s="5">
        <f>+'2H filtrado'!N766</f>
        <v>0</v>
      </c>
      <c r="D795" s="5">
        <f t="shared" si="13"/>
        <v>-206.99945682995201</v>
      </c>
    </row>
    <row r="796" spans="1:4">
      <c r="A796" s="2">
        <f>+'2H filtrado'!C767</f>
        <v>0</v>
      </c>
      <c r="B796" s="2">
        <f>+'2H filtrado'!D767</f>
        <v>0</v>
      </c>
      <c r="C796" s="5">
        <f>+'2H filtrado'!N767</f>
        <v>0</v>
      </c>
      <c r="D796" s="5">
        <f t="shared" si="13"/>
        <v>-206.99945682995201</v>
      </c>
    </row>
    <row r="797" spans="1:4">
      <c r="A797" s="2">
        <f>+'2H filtrado'!C768</f>
        <v>0</v>
      </c>
      <c r="B797" s="2">
        <f>+'2H filtrado'!D768</f>
        <v>0</v>
      </c>
      <c r="C797" s="5">
        <f>+'2H filtrado'!N768</f>
        <v>0</v>
      </c>
      <c r="D797" s="5">
        <f t="shared" si="13"/>
        <v>-206.99945682995201</v>
      </c>
    </row>
    <row r="798" spans="1:4">
      <c r="A798" s="2">
        <f>+'2H filtrado'!C769</f>
        <v>0</v>
      </c>
      <c r="B798" s="2">
        <f>+'2H filtrado'!D769</f>
        <v>0</v>
      </c>
      <c r="C798" s="5">
        <f>+'2H filtrado'!N769</f>
        <v>0</v>
      </c>
      <c r="D798" s="5">
        <f t="shared" si="13"/>
        <v>-206.99945682995201</v>
      </c>
    </row>
    <row r="799" spans="1:4">
      <c r="A799" s="2">
        <f>+'2H filtrado'!C770</f>
        <v>0</v>
      </c>
      <c r="B799" s="2">
        <f>+'2H filtrado'!D770</f>
        <v>0</v>
      </c>
      <c r="C799" s="5">
        <f>+'2H filtrado'!N770</f>
        <v>0</v>
      </c>
      <c r="D799" s="5">
        <f t="shared" si="13"/>
        <v>-206.99945682995201</v>
      </c>
    </row>
    <row r="800" spans="1:4">
      <c r="A800" s="2">
        <f>+'2H filtrado'!C771</f>
        <v>0</v>
      </c>
      <c r="B800" s="2">
        <f>+'2H filtrado'!D771</f>
        <v>0</v>
      </c>
      <c r="C800" s="5">
        <f>+'2H filtrado'!N771</f>
        <v>0</v>
      </c>
      <c r="D800" s="5">
        <f t="shared" ref="D800:D859" si="14">+(C800-$N$22)/$N$21</f>
        <v>-206.99945682995201</v>
      </c>
    </row>
    <row r="801" spans="1:4">
      <c r="A801" s="2">
        <f>+'2H filtrado'!C772</f>
        <v>0</v>
      </c>
      <c r="B801" s="2">
        <f>+'2H filtrado'!D772</f>
        <v>0</v>
      </c>
      <c r="C801" s="5">
        <f>+'2H filtrado'!N772</f>
        <v>0</v>
      </c>
      <c r="D801" s="5">
        <f t="shared" si="14"/>
        <v>-206.99945682995201</v>
      </c>
    </row>
    <row r="802" spans="1:4">
      <c r="A802" s="2">
        <f>+'2H filtrado'!C773</f>
        <v>0</v>
      </c>
      <c r="B802" s="2">
        <f>+'2H filtrado'!D773</f>
        <v>0</v>
      </c>
      <c r="C802" s="5">
        <f>+'2H filtrado'!N773</f>
        <v>0</v>
      </c>
      <c r="D802" s="5">
        <f t="shared" si="14"/>
        <v>-206.99945682995201</v>
      </c>
    </row>
    <row r="803" spans="1:4">
      <c r="A803" s="2">
        <f>+'2H filtrado'!C774</f>
        <v>0</v>
      </c>
      <c r="B803" s="2">
        <f>+'2H filtrado'!D774</f>
        <v>0</v>
      </c>
      <c r="C803" s="5">
        <f>+'2H filtrado'!N774</f>
        <v>0</v>
      </c>
      <c r="D803" s="5">
        <f t="shared" si="14"/>
        <v>-206.99945682995201</v>
      </c>
    </row>
    <row r="804" spans="1:4">
      <c r="A804" s="2">
        <f>+'2H filtrado'!C775</f>
        <v>0</v>
      </c>
      <c r="B804" s="2">
        <f>+'2H filtrado'!D775</f>
        <v>0</v>
      </c>
      <c r="C804" s="5">
        <f>+'2H filtrado'!N775</f>
        <v>0</v>
      </c>
      <c r="D804" s="5">
        <f t="shared" si="14"/>
        <v>-206.99945682995201</v>
      </c>
    </row>
    <row r="805" spans="1:4">
      <c r="A805" s="2">
        <f>+'2H filtrado'!C776</f>
        <v>0</v>
      </c>
      <c r="B805" s="2">
        <f>+'2H filtrado'!D776</f>
        <v>0</v>
      </c>
      <c r="C805" s="5">
        <f>+'2H filtrado'!N776</f>
        <v>0</v>
      </c>
      <c r="D805" s="5">
        <f t="shared" si="14"/>
        <v>-206.99945682995201</v>
      </c>
    </row>
    <row r="806" spans="1:4">
      <c r="A806" s="2">
        <f>+'2H filtrado'!C777</f>
        <v>0</v>
      </c>
      <c r="B806" s="2">
        <f>+'2H filtrado'!D777</f>
        <v>0</v>
      </c>
      <c r="C806" s="5">
        <f>+'2H filtrado'!N777</f>
        <v>0</v>
      </c>
      <c r="D806" s="5">
        <f t="shared" si="14"/>
        <v>-206.99945682995201</v>
      </c>
    </row>
    <row r="807" spans="1:4">
      <c r="A807" s="2">
        <f>+'2H filtrado'!C778</f>
        <v>0</v>
      </c>
      <c r="B807" s="2">
        <f>+'2H filtrado'!D778</f>
        <v>0</v>
      </c>
      <c r="C807" s="5">
        <f>+'2H filtrado'!N778</f>
        <v>0</v>
      </c>
      <c r="D807" s="5">
        <f t="shared" si="14"/>
        <v>-206.99945682995201</v>
      </c>
    </row>
    <row r="808" spans="1:4">
      <c r="A808" s="2">
        <f>+'2H filtrado'!C779</f>
        <v>0</v>
      </c>
      <c r="B808" s="2">
        <f>+'2H filtrado'!D779</f>
        <v>0</v>
      </c>
      <c r="C808" s="5">
        <f>+'2H filtrado'!N779</f>
        <v>0</v>
      </c>
      <c r="D808" s="5">
        <f t="shared" si="14"/>
        <v>-206.99945682995201</v>
      </c>
    </row>
    <row r="809" spans="1:4">
      <c r="A809" s="2">
        <f>+'2H filtrado'!C780</f>
        <v>0</v>
      </c>
      <c r="B809" s="2">
        <f>+'2H filtrado'!D780</f>
        <v>0</v>
      </c>
      <c r="C809" s="5">
        <f>+'2H filtrado'!N780</f>
        <v>0</v>
      </c>
      <c r="D809" s="5">
        <f t="shared" si="14"/>
        <v>-206.99945682995201</v>
      </c>
    </row>
    <row r="810" spans="1:4">
      <c r="A810" s="2">
        <f>+'2H filtrado'!C781</f>
        <v>0</v>
      </c>
      <c r="B810" s="2">
        <f>+'2H filtrado'!D781</f>
        <v>0</v>
      </c>
      <c r="C810" s="5">
        <f>+'2H filtrado'!N781</f>
        <v>0</v>
      </c>
      <c r="D810" s="5">
        <f t="shared" si="14"/>
        <v>-206.99945682995201</v>
      </c>
    </row>
    <row r="811" spans="1:4">
      <c r="A811" s="2">
        <f>+'2H filtrado'!C782</f>
        <v>0</v>
      </c>
      <c r="B811" s="2">
        <f>+'2H filtrado'!D782</f>
        <v>0</v>
      </c>
      <c r="C811" s="5">
        <f>+'2H filtrado'!N782</f>
        <v>0</v>
      </c>
      <c r="D811" s="5">
        <f t="shared" si="14"/>
        <v>-206.99945682995201</v>
      </c>
    </row>
    <row r="812" spans="1:4">
      <c r="A812" s="2">
        <f>+'2H filtrado'!C783</f>
        <v>0</v>
      </c>
      <c r="B812" s="2">
        <f>+'2H filtrado'!D783</f>
        <v>0</v>
      </c>
      <c r="C812" s="5">
        <f>+'2H filtrado'!N783</f>
        <v>0</v>
      </c>
      <c r="D812" s="5">
        <f t="shared" si="14"/>
        <v>-206.99945682995201</v>
      </c>
    </row>
    <row r="813" spans="1:4">
      <c r="A813" s="2">
        <f>+'2H filtrado'!C784</f>
        <v>0</v>
      </c>
      <c r="B813" s="2">
        <f>+'2H filtrado'!D784</f>
        <v>0</v>
      </c>
      <c r="C813" s="5">
        <f>+'2H filtrado'!N784</f>
        <v>0</v>
      </c>
      <c r="D813" s="5">
        <f t="shared" si="14"/>
        <v>-206.99945682995201</v>
      </c>
    </row>
    <row r="814" spans="1:4">
      <c r="A814" s="2">
        <f>+'2H filtrado'!C785</f>
        <v>0</v>
      </c>
      <c r="B814" s="2">
        <f>+'2H filtrado'!D785</f>
        <v>0</v>
      </c>
      <c r="C814" s="5">
        <f>+'2H filtrado'!N785</f>
        <v>0</v>
      </c>
      <c r="D814" s="5">
        <f t="shared" si="14"/>
        <v>-206.99945682995201</v>
      </c>
    </row>
    <row r="815" spans="1:4">
      <c r="A815" s="2">
        <f>+'2H filtrado'!C786</f>
        <v>0</v>
      </c>
      <c r="B815" s="2">
        <f>+'2H filtrado'!D786</f>
        <v>0</v>
      </c>
      <c r="C815" s="5">
        <f>+'2H filtrado'!N786</f>
        <v>0</v>
      </c>
      <c r="D815" s="5">
        <f t="shared" si="14"/>
        <v>-206.99945682995201</v>
      </c>
    </row>
    <row r="816" spans="1:4">
      <c r="A816" s="2">
        <f>+'2H filtrado'!C787</f>
        <v>0</v>
      </c>
      <c r="B816" s="2">
        <f>+'2H filtrado'!D787</f>
        <v>0</v>
      </c>
      <c r="C816" s="5">
        <f>+'2H filtrado'!N787</f>
        <v>0</v>
      </c>
      <c r="D816" s="5">
        <f t="shared" si="14"/>
        <v>-206.99945682995201</v>
      </c>
    </row>
    <row r="817" spans="1:4">
      <c r="A817" s="2">
        <f>+'2H filtrado'!C788</f>
        <v>0</v>
      </c>
      <c r="B817" s="2">
        <f>+'2H filtrado'!D788</f>
        <v>0</v>
      </c>
      <c r="C817" s="5">
        <f>+'2H filtrado'!N788</f>
        <v>0</v>
      </c>
      <c r="D817" s="5">
        <f t="shared" si="14"/>
        <v>-206.99945682995201</v>
      </c>
    </row>
    <row r="818" spans="1:4">
      <c r="A818" s="2">
        <f>+'2H filtrado'!C789</f>
        <v>0</v>
      </c>
      <c r="B818" s="2">
        <f>+'2H filtrado'!D789</f>
        <v>0</v>
      </c>
      <c r="C818" s="5">
        <f>+'2H filtrado'!N789</f>
        <v>0</v>
      </c>
      <c r="D818" s="5">
        <f t="shared" si="14"/>
        <v>-206.99945682995201</v>
      </c>
    </row>
    <row r="819" spans="1:4">
      <c r="A819" s="2">
        <f>+'2H filtrado'!C790</f>
        <v>0</v>
      </c>
      <c r="B819" s="2">
        <f>+'2H filtrado'!D790</f>
        <v>0</v>
      </c>
      <c r="C819" s="5">
        <f>+'2H filtrado'!N790</f>
        <v>0</v>
      </c>
      <c r="D819" s="5">
        <f t="shared" si="14"/>
        <v>-206.99945682995201</v>
      </c>
    </row>
    <row r="820" spans="1:4">
      <c r="A820" s="2">
        <f>+'2H filtrado'!C791</f>
        <v>0</v>
      </c>
      <c r="B820" s="2">
        <f>+'2H filtrado'!D791</f>
        <v>0</v>
      </c>
      <c r="C820" s="5">
        <f>+'2H filtrado'!N791</f>
        <v>0</v>
      </c>
      <c r="D820" s="5">
        <f t="shared" si="14"/>
        <v>-206.99945682995201</v>
      </c>
    </row>
    <row r="821" spans="1:4">
      <c r="A821" s="2">
        <f>+'2H filtrado'!C792</f>
        <v>0</v>
      </c>
      <c r="B821" s="2">
        <f>+'2H filtrado'!D792</f>
        <v>0</v>
      </c>
      <c r="C821" s="5">
        <f>+'2H filtrado'!N792</f>
        <v>0</v>
      </c>
      <c r="D821" s="5">
        <f t="shared" si="14"/>
        <v>-206.99945682995201</v>
      </c>
    </row>
    <row r="822" spans="1:4">
      <c r="A822" s="2">
        <f>+'2H filtrado'!C793</f>
        <v>0</v>
      </c>
      <c r="B822" s="2">
        <f>+'2H filtrado'!D793</f>
        <v>0</v>
      </c>
      <c r="C822" s="5">
        <f>+'2H filtrado'!N793</f>
        <v>0</v>
      </c>
      <c r="D822" s="5">
        <f t="shared" si="14"/>
        <v>-206.99945682995201</v>
      </c>
    </row>
    <row r="823" spans="1:4">
      <c r="A823" s="2">
        <f>+'2H filtrado'!C794</f>
        <v>0</v>
      </c>
      <c r="B823" s="2">
        <f>+'2H filtrado'!D794</f>
        <v>0</v>
      </c>
      <c r="C823" s="5">
        <f>+'2H filtrado'!N794</f>
        <v>0</v>
      </c>
      <c r="D823" s="5">
        <f t="shared" si="14"/>
        <v>-206.99945682995201</v>
      </c>
    </row>
    <row r="824" spans="1:4">
      <c r="A824" s="2">
        <f>+'2H filtrado'!C795</f>
        <v>0</v>
      </c>
      <c r="B824" s="2">
        <f>+'2H filtrado'!D795</f>
        <v>0</v>
      </c>
      <c r="C824" s="5">
        <f>+'2H filtrado'!N795</f>
        <v>0</v>
      </c>
      <c r="D824" s="5">
        <f t="shared" si="14"/>
        <v>-206.99945682995201</v>
      </c>
    </row>
    <row r="825" spans="1:4">
      <c r="A825" s="2">
        <f>+'2H filtrado'!C796</f>
        <v>0</v>
      </c>
      <c r="B825" s="2">
        <f>+'2H filtrado'!D796</f>
        <v>0</v>
      </c>
      <c r="C825" s="5">
        <f>+'2H filtrado'!N796</f>
        <v>0</v>
      </c>
      <c r="D825" s="5">
        <f t="shared" si="14"/>
        <v>-206.99945682995201</v>
      </c>
    </row>
    <row r="826" spans="1:4">
      <c r="A826" s="2">
        <f>+'2H filtrado'!C797</f>
        <v>0</v>
      </c>
      <c r="B826" s="2">
        <f>+'2H filtrado'!D797</f>
        <v>0</v>
      </c>
      <c r="C826" s="5">
        <f>+'2H filtrado'!N797</f>
        <v>0</v>
      </c>
      <c r="D826" s="5">
        <f t="shared" si="14"/>
        <v>-206.99945682995201</v>
      </c>
    </row>
    <row r="827" spans="1:4">
      <c r="A827" s="2">
        <f>+'2H filtrado'!C798</f>
        <v>0</v>
      </c>
      <c r="B827" s="2">
        <f>+'2H filtrado'!D798</f>
        <v>0</v>
      </c>
      <c r="C827" s="5">
        <f>+'2H filtrado'!N798</f>
        <v>0</v>
      </c>
      <c r="D827" s="5">
        <f t="shared" si="14"/>
        <v>-206.99945682995201</v>
      </c>
    </row>
    <row r="828" spans="1:4">
      <c r="A828" s="2">
        <f>+'2H filtrado'!C799</f>
        <v>0</v>
      </c>
      <c r="B828" s="2">
        <f>+'2H filtrado'!D799</f>
        <v>0</v>
      </c>
      <c r="C828" s="5">
        <f>+'2H filtrado'!N799</f>
        <v>0</v>
      </c>
      <c r="D828" s="5">
        <f t="shared" si="14"/>
        <v>-206.99945682995201</v>
      </c>
    </row>
    <row r="829" spans="1:4">
      <c r="A829" s="2">
        <f>+'2H filtrado'!C800</f>
        <v>0</v>
      </c>
      <c r="B829" s="2">
        <f>+'2H filtrado'!D800</f>
        <v>0</v>
      </c>
      <c r="C829" s="5">
        <f>+'2H filtrado'!N800</f>
        <v>0</v>
      </c>
      <c r="D829" s="5">
        <f t="shared" si="14"/>
        <v>-206.99945682995201</v>
      </c>
    </row>
    <row r="830" spans="1:4">
      <c r="A830" s="2">
        <f>+'2H filtrado'!C801</f>
        <v>0</v>
      </c>
      <c r="B830" s="2">
        <f>+'2H filtrado'!D801</f>
        <v>0</v>
      </c>
      <c r="C830" s="5">
        <f>+'2H filtrado'!N801</f>
        <v>0</v>
      </c>
      <c r="D830" s="5">
        <f t="shared" si="14"/>
        <v>-206.99945682995201</v>
      </c>
    </row>
    <row r="831" spans="1:4">
      <c r="A831" s="2">
        <f>+'2H filtrado'!C802</f>
        <v>0</v>
      </c>
      <c r="B831" s="2">
        <f>+'2H filtrado'!D802</f>
        <v>0</v>
      </c>
      <c r="C831" s="5">
        <f>+'2H filtrado'!N802</f>
        <v>0</v>
      </c>
      <c r="D831" s="5">
        <f t="shared" si="14"/>
        <v>-206.99945682995201</v>
      </c>
    </row>
    <row r="832" spans="1:4">
      <c r="A832" s="2">
        <f>+'2H filtrado'!C803</f>
        <v>0</v>
      </c>
      <c r="B832" s="2">
        <f>+'2H filtrado'!D803</f>
        <v>0</v>
      </c>
      <c r="C832" s="5">
        <f>+'2H filtrado'!N803</f>
        <v>0</v>
      </c>
      <c r="D832" s="5">
        <f t="shared" si="14"/>
        <v>-206.99945682995201</v>
      </c>
    </row>
    <row r="833" spans="1:4">
      <c r="A833" s="2">
        <f>+'2H filtrado'!C804</f>
        <v>0</v>
      </c>
      <c r="B833" s="2">
        <f>+'2H filtrado'!D804</f>
        <v>0</v>
      </c>
      <c r="C833" s="5">
        <f>+'2H filtrado'!N804</f>
        <v>0</v>
      </c>
      <c r="D833" s="5">
        <f t="shared" si="14"/>
        <v>-206.99945682995201</v>
      </c>
    </row>
    <row r="834" spans="1:4">
      <c r="A834" s="2">
        <f>+'2H filtrado'!C805</f>
        <v>0</v>
      </c>
      <c r="B834" s="2">
        <f>+'2H filtrado'!D805</f>
        <v>0</v>
      </c>
      <c r="C834" s="5">
        <f>+'2H filtrado'!N805</f>
        <v>0</v>
      </c>
      <c r="D834" s="5">
        <f t="shared" si="14"/>
        <v>-206.99945682995201</v>
      </c>
    </row>
    <row r="835" spans="1:4">
      <c r="A835" s="2">
        <f>+'2H filtrado'!C806</f>
        <v>0</v>
      </c>
      <c r="B835" s="2">
        <f>+'2H filtrado'!D806</f>
        <v>0</v>
      </c>
      <c r="C835" s="5">
        <f>+'2H filtrado'!N806</f>
        <v>0</v>
      </c>
      <c r="D835" s="5">
        <f t="shared" si="14"/>
        <v>-206.99945682995201</v>
      </c>
    </row>
    <row r="836" spans="1:4">
      <c r="A836" s="2">
        <f>+'2H filtrado'!C807</f>
        <v>0</v>
      </c>
      <c r="B836" s="2">
        <f>+'2H filtrado'!D807</f>
        <v>0</v>
      </c>
      <c r="C836" s="5">
        <f>+'2H filtrado'!N807</f>
        <v>0</v>
      </c>
      <c r="D836" s="5">
        <f t="shared" si="14"/>
        <v>-206.99945682995201</v>
      </c>
    </row>
    <row r="837" spans="1:4">
      <c r="A837" s="2">
        <f>+'2H filtrado'!C808</f>
        <v>0</v>
      </c>
      <c r="B837" s="2">
        <f>+'2H filtrado'!D808</f>
        <v>0</v>
      </c>
      <c r="C837" s="5">
        <f>+'2H filtrado'!N808</f>
        <v>0</v>
      </c>
      <c r="D837" s="5">
        <f t="shared" si="14"/>
        <v>-206.99945682995201</v>
      </c>
    </row>
    <row r="838" spans="1:4">
      <c r="A838" s="2">
        <f>+'2H filtrado'!C809</f>
        <v>0</v>
      </c>
      <c r="B838" s="2">
        <f>+'2H filtrado'!D809</f>
        <v>0</v>
      </c>
      <c r="C838" s="5">
        <f>+'2H filtrado'!N809</f>
        <v>0</v>
      </c>
      <c r="D838" s="5">
        <f t="shared" si="14"/>
        <v>-206.99945682995201</v>
      </c>
    </row>
    <row r="839" spans="1:4">
      <c r="A839" s="2">
        <f>+'2H filtrado'!C810</f>
        <v>0</v>
      </c>
      <c r="B839" s="2">
        <f>+'2H filtrado'!D810</f>
        <v>0</v>
      </c>
      <c r="C839" s="5">
        <f>+'2H filtrado'!N810</f>
        <v>0</v>
      </c>
      <c r="D839" s="5">
        <f t="shared" si="14"/>
        <v>-206.99945682995201</v>
      </c>
    </row>
    <row r="840" spans="1:4">
      <c r="A840" s="2">
        <f>+'2H filtrado'!C811</f>
        <v>0</v>
      </c>
      <c r="B840" s="2">
        <f>+'2H filtrado'!D811</f>
        <v>0</v>
      </c>
      <c r="C840" s="5">
        <f>+'2H filtrado'!N811</f>
        <v>0</v>
      </c>
      <c r="D840" s="5">
        <f t="shared" si="14"/>
        <v>-206.99945682995201</v>
      </c>
    </row>
    <row r="841" spans="1:4">
      <c r="A841" s="2">
        <f>+'2H filtrado'!C812</f>
        <v>0</v>
      </c>
      <c r="B841" s="2">
        <f>+'2H filtrado'!D812</f>
        <v>0</v>
      </c>
      <c r="C841" s="5">
        <f>+'2H filtrado'!N812</f>
        <v>0</v>
      </c>
      <c r="D841" s="5">
        <f t="shared" si="14"/>
        <v>-206.99945682995201</v>
      </c>
    </row>
    <row r="842" spans="1:4">
      <c r="A842" s="2">
        <f>+'2H filtrado'!C813</f>
        <v>0</v>
      </c>
      <c r="B842" s="2">
        <f>+'2H filtrado'!D813</f>
        <v>0</v>
      </c>
      <c r="C842" s="5">
        <f>+'2H filtrado'!N813</f>
        <v>0</v>
      </c>
      <c r="D842" s="5">
        <f t="shared" si="14"/>
        <v>-206.99945682995201</v>
      </c>
    </row>
    <row r="843" spans="1:4">
      <c r="A843" s="2">
        <f>+'2H filtrado'!C814</f>
        <v>0</v>
      </c>
      <c r="B843" s="2">
        <f>+'2H filtrado'!D814</f>
        <v>0</v>
      </c>
      <c r="C843" s="5">
        <f>+'2H filtrado'!N814</f>
        <v>0</v>
      </c>
      <c r="D843" s="5">
        <f t="shared" si="14"/>
        <v>-206.99945682995201</v>
      </c>
    </row>
    <row r="844" spans="1:4">
      <c r="A844" s="2">
        <f>+'2H filtrado'!C815</f>
        <v>0</v>
      </c>
      <c r="B844" s="2">
        <f>+'2H filtrado'!D815</f>
        <v>0</v>
      </c>
      <c r="C844" s="5">
        <f>+'2H filtrado'!N815</f>
        <v>0</v>
      </c>
      <c r="D844" s="5">
        <f t="shared" si="14"/>
        <v>-206.99945682995201</v>
      </c>
    </row>
    <row r="845" spans="1:4">
      <c r="A845" s="2">
        <f>+'2H filtrado'!C816</f>
        <v>0</v>
      </c>
      <c r="B845" s="2">
        <f>+'2H filtrado'!D816</f>
        <v>0</v>
      </c>
      <c r="C845" s="5">
        <f>+'2H filtrado'!N816</f>
        <v>0</v>
      </c>
      <c r="D845" s="5">
        <f t="shared" si="14"/>
        <v>-206.99945682995201</v>
      </c>
    </row>
    <row r="846" spans="1:4">
      <c r="A846" s="2">
        <f>+'2H filtrado'!C817</f>
        <v>0</v>
      </c>
      <c r="B846" s="2">
        <f>+'2H filtrado'!D817</f>
        <v>0</v>
      </c>
      <c r="C846" s="5">
        <f>+'2H filtrado'!N817</f>
        <v>0</v>
      </c>
      <c r="D846" s="5">
        <f t="shared" si="14"/>
        <v>-206.99945682995201</v>
      </c>
    </row>
    <row r="847" spans="1:4">
      <c r="A847" s="2">
        <f>+'2H filtrado'!C818</f>
        <v>0</v>
      </c>
      <c r="B847" s="2">
        <f>+'2H filtrado'!D818</f>
        <v>0</v>
      </c>
      <c r="C847" s="5">
        <f>+'2H filtrado'!N818</f>
        <v>0</v>
      </c>
      <c r="D847" s="5">
        <f t="shared" si="14"/>
        <v>-206.99945682995201</v>
      </c>
    </row>
    <row r="848" spans="1:4">
      <c r="A848" s="2">
        <f>+'2H filtrado'!C819</f>
        <v>0</v>
      </c>
      <c r="B848" s="2">
        <f>+'2H filtrado'!D819</f>
        <v>0</v>
      </c>
      <c r="C848" s="5">
        <f>+'2H filtrado'!N819</f>
        <v>0</v>
      </c>
      <c r="D848" s="5">
        <f t="shared" si="14"/>
        <v>-206.99945682995201</v>
      </c>
    </row>
    <row r="849" spans="1:4">
      <c r="A849" s="2">
        <f>+'2H filtrado'!C820</f>
        <v>0</v>
      </c>
      <c r="B849" s="2">
        <f>+'2H filtrado'!D820</f>
        <v>0</v>
      </c>
      <c r="C849" s="5">
        <f>+'2H filtrado'!N820</f>
        <v>0</v>
      </c>
      <c r="D849" s="5">
        <f t="shared" si="14"/>
        <v>-206.99945682995201</v>
      </c>
    </row>
    <row r="850" spans="1:4">
      <c r="A850" s="2">
        <f>+'2H filtrado'!C821</f>
        <v>0</v>
      </c>
      <c r="B850" s="2">
        <f>+'2H filtrado'!D821</f>
        <v>0</v>
      </c>
      <c r="C850" s="5">
        <f>+'2H filtrado'!N821</f>
        <v>0</v>
      </c>
      <c r="D850" s="5">
        <f t="shared" si="14"/>
        <v>-206.99945682995201</v>
      </c>
    </row>
    <row r="851" spans="1:4">
      <c r="A851" s="2">
        <f>+'2H filtrado'!C822</f>
        <v>0</v>
      </c>
      <c r="B851" s="2">
        <f>+'2H filtrado'!D822</f>
        <v>0</v>
      </c>
      <c r="C851" s="5">
        <f>+'2H filtrado'!N822</f>
        <v>0</v>
      </c>
      <c r="D851" s="5">
        <f t="shared" si="14"/>
        <v>-206.99945682995201</v>
      </c>
    </row>
    <row r="852" spans="1:4">
      <c r="A852" s="2">
        <f>+'2H filtrado'!C823</f>
        <v>0</v>
      </c>
      <c r="B852" s="2">
        <f>+'2H filtrado'!D823</f>
        <v>0</v>
      </c>
      <c r="C852" s="5">
        <f>+'2H filtrado'!N823</f>
        <v>0</v>
      </c>
      <c r="D852" s="5">
        <f t="shared" si="14"/>
        <v>-206.99945682995201</v>
      </c>
    </row>
    <row r="853" spans="1:4">
      <c r="A853" s="2">
        <f>+'2H filtrado'!C824</f>
        <v>0</v>
      </c>
      <c r="B853" s="2">
        <f>+'2H filtrado'!D824</f>
        <v>0</v>
      </c>
      <c r="C853" s="5">
        <f>+'2H filtrado'!N824</f>
        <v>0</v>
      </c>
      <c r="D853" s="5">
        <f t="shared" si="14"/>
        <v>-206.99945682995201</v>
      </c>
    </row>
    <row r="854" spans="1:4">
      <c r="A854" s="2">
        <f>+'2H filtrado'!C825</f>
        <v>0</v>
      </c>
      <c r="B854" s="2">
        <f>+'2H filtrado'!D825</f>
        <v>0</v>
      </c>
      <c r="C854" s="5">
        <f>+'2H filtrado'!N825</f>
        <v>0</v>
      </c>
      <c r="D854" s="5">
        <f t="shared" si="14"/>
        <v>-206.99945682995201</v>
      </c>
    </row>
    <row r="855" spans="1:4">
      <c r="A855" s="2">
        <f>+'2H filtrado'!C826</f>
        <v>0</v>
      </c>
      <c r="B855" s="2">
        <f>+'2H filtrado'!D826</f>
        <v>0</v>
      </c>
      <c r="C855" s="5">
        <f>+'2H filtrado'!N826</f>
        <v>0</v>
      </c>
      <c r="D855" s="5">
        <f t="shared" si="14"/>
        <v>-206.99945682995201</v>
      </c>
    </row>
    <row r="856" spans="1:4">
      <c r="A856" s="2">
        <f>+'2H filtrado'!C827</f>
        <v>0</v>
      </c>
      <c r="B856" s="2">
        <f>+'2H filtrado'!D827</f>
        <v>0</v>
      </c>
      <c r="C856" s="5">
        <f>+'2H filtrado'!N827</f>
        <v>0</v>
      </c>
      <c r="D856" s="5">
        <f t="shared" si="14"/>
        <v>-206.99945682995201</v>
      </c>
    </row>
    <row r="857" spans="1:4">
      <c r="A857" s="2">
        <f>+'2H filtrado'!C828</f>
        <v>0</v>
      </c>
      <c r="B857" s="2">
        <f>+'2H filtrado'!D828</f>
        <v>0</v>
      </c>
      <c r="C857" s="5">
        <f>+'2H filtrado'!N828</f>
        <v>0</v>
      </c>
      <c r="D857" s="5">
        <f t="shared" si="14"/>
        <v>-206.99945682995201</v>
      </c>
    </row>
    <row r="858" spans="1:4">
      <c r="A858" s="2">
        <f>+'2H filtrado'!C829</f>
        <v>0</v>
      </c>
      <c r="B858" s="2">
        <f>+'2H filtrado'!D829</f>
        <v>0</v>
      </c>
      <c r="C858" s="5">
        <f>+'2H filtrado'!N829</f>
        <v>0</v>
      </c>
      <c r="D858" s="5">
        <f t="shared" si="14"/>
        <v>-206.99945682995201</v>
      </c>
    </row>
    <row r="859" spans="1:4">
      <c r="A859" s="2">
        <f>+'2H filtrado'!C830</f>
        <v>0</v>
      </c>
      <c r="B859" s="2">
        <f>+'2H filtrado'!D830</f>
        <v>0</v>
      </c>
      <c r="C859" s="5">
        <f>+'2H filtrado'!N830</f>
        <v>0</v>
      </c>
      <c r="D859" s="5">
        <f t="shared" si="14"/>
        <v>-206.99945682995201</v>
      </c>
    </row>
    <row r="860" spans="1:4">
      <c r="D860" s="5"/>
    </row>
    <row r="861" spans="1:4">
      <c r="D861" s="5"/>
    </row>
    <row r="862" spans="1:4">
      <c r="D862" s="5"/>
    </row>
    <row r="863" spans="1:4">
      <c r="D863" s="5"/>
    </row>
    <row r="864" spans="1:4">
      <c r="D864" s="5"/>
    </row>
    <row r="865" spans="4:4">
      <c r="D865" s="5"/>
    </row>
    <row r="866" spans="4:4">
      <c r="D866" s="5"/>
    </row>
    <row r="867" spans="4:4">
      <c r="D867" s="5"/>
    </row>
    <row r="868" spans="4:4">
      <c r="D868" s="5"/>
    </row>
    <row r="869" spans="4:4">
      <c r="D869" s="5"/>
    </row>
    <row r="870" spans="4:4">
      <c r="D870" s="5"/>
    </row>
    <row r="871" spans="4:4">
      <c r="D871" s="5"/>
    </row>
    <row r="872" spans="4:4">
      <c r="D872" s="5"/>
    </row>
    <row r="873" spans="4:4">
      <c r="D873" s="5"/>
    </row>
    <row r="874" spans="4:4">
      <c r="D874" s="5"/>
    </row>
    <row r="875" spans="4:4">
      <c r="D875" s="5"/>
    </row>
    <row r="876" spans="4:4">
      <c r="D876" s="5"/>
    </row>
    <row r="877" spans="4:4">
      <c r="D877" s="5"/>
    </row>
    <row r="878" spans="4:4">
      <c r="D878" s="5"/>
    </row>
    <row r="879" spans="4:4">
      <c r="D879" s="5"/>
    </row>
    <row r="880" spans="4:4">
      <c r="D880" s="5"/>
    </row>
    <row r="881" spans="4:4">
      <c r="D881" s="5"/>
    </row>
    <row r="882" spans="4:4">
      <c r="D882" s="5"/>
    </row>
    <row r="883" spans="4:4">
      <c r="D883" s="5"/>
    </row>
    <row r="884" spans="4:4">
      <c r="D884" s="5"/>
    </row>
    <row r="885" spans="4:4">
      <c r="D885" s="5"/>
    </row>
    <row r="886" spans="4:4">
      <c r="D886" s="5"/>
    </row>
    <row r="887" spans="4:4">
      <c r="D887" s="5"/>
    </row>
    <row r="888" spans="4:4">
      <c r="D888" s="5"/>
    </row>
    <row r="889" spans="4:4">
      <c r="D889" s="5"/>
    </row>
    <row r="890" spans="4:4">
      <c r="D890" s="5"/>
    </row>
    <row r="891" spans="4:4">
      <c r="D891" s="5"/>
    </row>
    <row r="892" spans="4:4">
      <c r="D892" s="5"/>
    </row>
    <row r="893" spans="4:4">
      <c r="D893" s="5"/>
    </row>
    <row r="894" spans="4:4">
      <c r="D894" s="5"/>
    </row>
    <row r="895" spans="4:4">
      <c r="D895" s="5"/>
    </row>
    <row r="896" spans="4:4">
      <c r="D896" s="5"/>
    </row>
    <row r="897" spans="4:4">
      <c r="D897" s="5"/>
    </row>
    <row r="898" spans="4:4">
      <c r="D898" s="5"/>
    </row>
    <row r="899" spans="4:4">
      <c r="D899" s="5"/>
    </row>
    <row r="900" spans="4:4">
      <c r="D900" s="5"/>
    </row>
    <row r="901" spans="4:4">
      <c r="D901" s="5"/>
    </row>
    <row r="902" spans="4:4">
      <c r="D902" s="5"/>
    </row>
    <row r="903" spans="4:4">
      <c r="D903" s="5"/>
    </row>
    <row r="904" spans="4:4">
      <c r="D904" s="5"/>
    </row>
    <row r="905" spans="4:4">
      <c r="D905" s="5"/>
    </row>
  </sheetData>
  <mergeCells count="2">
    <mergeCell ref="A4:A6"/>
    <mergeCell ref="A10:A11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W905"/>
  <sheetViews>
    <sheetView workbookViewId="0">
      <selection activeCell="C31" sqref="C31:C154"/>
    </sheetView>
  </sheetViews>
  <sheetFormatPr defaultRowHeight="12.75" customHeight="1"/>
  <cols>
    <col min="1" max="3" width="15" style="2" customWidth="1"/>
    <col min="4" max="4" width="16.7109375" style="2" customWidth="1"/>
    <col min="5" max="5" width="15" style="2" customWidth="1"/>
    <col min="6" max="6" width="16" style="2" customWidth="1"/>
    <col min="7" max="257" width="15" style="2" customWidth="1"/>
  </cols>
  <sheetData>
    <row r="1" spans="1:11" ht="12.75" customHeight="1">
      <c r="A1" s="6" t="s">
        <v>215</v>
      </c>
      <c r="H1" s="7" t="s">
        <v>216</v>
      </c>
    </row>
    <row r="3" spans="1:11" ht="12.75" customHeight="1">
      <c r="B3" s="3" t="s">
        <v>217</v>
      </c>
      <c r="C3" s="3" t="s">
        <v>16</v>
      </c>
      <c r="D3" s="3" t="s">
        <v>20</v>
      </c>
      <c r="E3" s="3" t="s">
        <v>24</v>
      </c>
      <c r="F3" s="3" t="s">
        <v>28</v>
      </c>
      <c r="H3" s="3" t="s">
        <v>217</v>
      </c>
      <c r="I3" s="3" t="s">
        <v>218</v>
      </c>
      <c r="J3" s="3" t="s">
        <v>219</v>
      </c>
      <c r="K3" s="3"/>
    </row>
    <row r="4" spans="1:11" ht="12.75" customHeight="1">
      <c r="A4" s="20" t="s">
        <v>220</v>
      </c>
      <c r="B4" s="3" t="s">
        <v>213</v>
      </c>
      <c r="C4" s="5">
        <f>+AVERAGEIF('18O filtrado'!D:D,"=Mar",'18O filtrado'!P:P)</f>
        <v>2.2013333333333338</v>
      </c>
      <c r="D4" s="5">
        <f>+AVERAGEIF('18O filtrado'!D:D,"=Buenos Aires",'18O filtrado'!P:P)</f>
        <v>-4.4946363636363644</v>
      </c>
      <c r="E4" s="5">
        <f>+AVERAGEIF('18O filtrado'!D:D,"=Mendoza",'18O filtrado'!P:P)</f>
        <v>-10.107166666666666</v>
      </c>
      <c r="F4" s="5">
        <f>+AVERAGEIF('18O filtrado'!D:D,"=Antartida",'18O filtrado'!P:P)</f>
        <v>-11.32</v>
      </c>
      <c r="H4" s="2" t="s">
        <v>16</v>
      </c>
      <c r="I4" s="2">
        <v>1.974</v>
      </c>
      <c r="J4" s="2">
        <v>-2.7E-2</v>
      </c>
    </row>
    <row r="5" spans="1:11" ht="12.75" customHeight="1">
      <c r="A5" s="20"/>
      <c r="B5" s="3" t="s">
        <v>214</v>
      </c>
      <c r="C5" s="8">
        <f t="array" ref="C5">+STDEV(IF('18O filtrado'!$D:$D=C3,'18O filtrado'!$P:$P))</f>
        <v>0.26889601459795648</v>
      </c>
      <c r="D5" s="8">
        <f t="array" ref="D5">+STDEV(IF('18O filtrado'!$D:$D=D3,'18O filtrado'!$P:$P))</f>
        <v>0.11983740788670434</v>
      </c>
      <c r="E5" s="8">
        <f t="array" ref="E5">+STDEV(IF('18O filtrado'!$D:$D=E3,'18O filtrado'!$P:$P))</f>
        <v>0.25607531444219078</v>
      </c>
      <c r="F5" s="8">
        <f t="array" ref="F5">+STDEV(IF('18O filtrado'!$D:$D=F3,'18O filtrado'!$P:$P))</f>
        <v>0.15686299754881644</v>
      </c>
      <c r="H5" s="2" t="s">
        <v>16</v>
      </c>
      <c r="I5" s="2">
        <v>2</v>
      </c>
      <c r="J5" s="2">
        <v>-2.7E-2</v>
      </c>
    </row>
    <row r="6" spans="1:11" ht="12.75" customHeight="1">
      <c r="A6" s="20"/>
      <c r="B6" s="3" t="s">
        <v>221</v>
      </c>
      <c r="C6" s="2">
        <f t="array" ref="C6">+COUNT(IF('18O filtrado'!$D:$D=C3,'18O filtrado'!$P:$P))</f>
        <v>6</v>
      </c>
      <c r="D6" s="2">
        <f t="array" ref="D6">+COUNT(IF('18O filtrado'!$D:$D=D3,'18O filtrado'!$P:$P))</f>
        <v>22</v>
      </c>
      <c r="E6" s="2">
        <f t="array" ref="E6">+COUNT(IF('18O filtrado'!$D:$D=E3,'18O filtrado'!$P:$P))</f>
        <v>6</v>
      </c>
      <c r="F6" s="2">
        <f t="array" ref="F6">+COUNT(IF('18O filtrado'!$D:$D=F3,'18O filtrado'!$P:$P))</f>
        <v>6</v>
      </c>
      <c r="H6" s="2" t="s">
        <v>16</v>
      </c>
      <c r="I6" s="2">
        <v>1.909</v>
      </c>
      <c r="J6" s="2">
        <v>-2.7E-2</v>
      </c>
    </row>
    <row r="7" spans="1:11" ht="12.75" customHeight="1">
      <c r="H7" s="2" t="s">
        <v>20</v>
      </c>
      <c r="I7" s="2">
        <v>-4.6500000000000004</v>
      </c>
      <c r="J7" s="2">
        <v>-5.4420000000000002</v>
      </c>
    </row>
    <row r="8" spans="1:11" ht="12.75" customHeight="1">
      <c r="B8" s="3" t="s">
        <v>222</v>
      </c>
      <c r="C8" s="2">
        <v>-2.7E-2</v>
      </c>
      <c r="D8" s="2">
        <v>-5.4420000000000002</v>
      </c>
      <c r="E8" s="2">
        <v>-11.362</v>
      </c>
      <c r="F8" s="2">
        <v>-12.78</v>
      </c>
      <c r="H8" s="2" t="s">
        <v>20</v>
      </c>
      <c r="I8" s="2">
        <v>-4.4560000000000004</v>
      </c>
      <c r="J8" s="2">
        <v>-5.4420000000000002</v>
      </c>
    </row>
    <row r="9" spans="1:11" ht="12.75" customHeight="1">
      <c r="H9" s="2" t="s">
        <v>20</v>
      </c>
      <c r="I9" s="2">
        <v>-4.593</v>
      </c>
      <c r="J9" s="2">
        <v>-5.4420000000000002</v>
      </c>
    </row>
    <row r="10" spans="1:11" ht="12.75" customHeight="1">
      <c r="A10" s="20" t="s">
        <v>223</v>
      </c>
      <c r="B10" s="3" t="s">
        <v>213</v>
      </c>
      <c r="C10" s="5">
        <f>+AVERAGEIF($B$31:$B$400,C3,$D$31:$D$400)</f>
        <v>0.29394217955237706</v>
      </c>
      <c r="D10" s="5">
        <f>+AVERAGEIF($B$31:$B$400,D3,$D$31:$D$400)</f>
        <v>-6.0563454453525019</v>
      </c>
      <c r="E10" s="5">
        <f>+AVERAGEIF($B$31:$B$400,E3,$D$31:$D$400)</f>
        <v>-11.379126661621536</v>
      </c>
      <c r="F10" s="5">
        <f>+AVERAGEIF($B$31:$B$400,F3,$D$31:$D$400)</f>
        <v>-12.529346996582776</v>
      </c>
      <c r="H10" s="2" t="s">
        <v>24</v>
      </c>
      <c r="I10" s="2">
        <v>-10.119</v>
      </c>
      <c r="J10" s="2">
        <v>-11.362</v>
      </c>
    </row>
    <row r="11" spans="1:11" ht="12.75" customHeight="1">
      <c r="A11" s="20"/>
      <c r="B11" s="3" t="s">
        <v>214</v>
      </c>
      <c r="C11" s="5">
        <f t="array" ref="C11">+STDEV(IF($B$31:$B$400=C3,$D$31:$D$400))</f>
        <v>0.2550141519697201</v>
      </c>
      <c r="D11" s="5">
        <f t="array" ref="D11">+STDEV(IF($B$31:$B$400=D3,$D$31:$D$400))</f>
        <v>0.11365075451999324</v>
      </c>
      <c r="E11" s="5">
        <f t="array" ref="E11">+STDEV(IF($B$31:$B$400=E3,$D$31:$D$400))</f>
        <v>0.24285532550749123</v>
      </c>
      <c r="F11" s="5">
        <f t="array" ref="F11">+STDEV(IF($B$31:$B$400=F3,$D$31:$D$400))</f>
        <v>0.14876488353741135</v>
      </c>
      <c r="H11" s="2" t="s">
        <v>24</v>
      </c>
      <c r="I11" s="2">
        <v>-10.317</v>
      </c>
      <c r="J11" s="2">
        <v>-11.362</v>
      </c>
    </row>
    <row r="12" spans="1:11" ht="12.75" customHeight="1">
      <c r="H12" s="2" t="s">
        <v>24</v>
      </c>
      <c r="I12" s="2">
        <v>-10.349</v>
      </c>
      <c r="J12" s="2">
        <v>-11.362</v>
      </c>
    </row>
    <row r="13" spans="1:11" ht="12.75" customHeight="1">
      <c r="H13" s="2" t="s">
        <v>28</v>
      </c>
      <c r="I13" s="2">
        <v>-11.12</v>
      </c>
      <c r="J13" s="2">
        <v>-12.78</v>
      </c>
    </row>
    <row r="14" spans="1:11" ht="12.75" customHeight="1">
      <c r="H14" s="2" t="s">
        <v>28</v>
      </c>
      <c r="I14" s="2">
        <v>-11.542</v>
      </c>
      <c r="J14" s="2">
        <v>-12.78</v>
      </c>
    </row>
    <row r="15" spans="1:11" ht="12.75" customHeight="1">
      <c r="H15" s="2" t="s">
        <v>28</v>
      </c>
      <c r="I15" s="2">
        <v>-11.24</v>
      </c>
      <c r="J15" s="2">
        <v>-12.78</v>
      </c>
    </row>
    <row r="16" spans="1:11" ht="12.75" customHeight="1">
      <c r="H16" s="2" t="s">
        <v>16</v>
      </c>
      <c r="I16" s="2">
        <v>2.5230000000000001</v>
      </c>
      <c r="J16" s="2">
        <v>-2.7E-2</v>
      </c>
    </row>
    <row r="17" spans="1:14" ht="12.75" customHeight="1">
      <c r="H17" s="2" t="s">
        <v>16</v>
      </c>
      <c r="I17" s="2">
        <v>2.383</v>
      </c>
      <c r="J17" s="2">
        <v>-2.7E-2</v>
      </c>
    </row>
    <row r="18" spans="1:14" ht="12.75" customHeight="1">
      <c r="H18" s="2" t="s">
        <v>16</v>
      </c>
      <c r="I18" s="2">
        <v>2.419</v>
      </c>
      <c r="J18" s="2">
        <v>-2.7E-2</v>
      </c>
    </row>
    <row r="19" spans="1:14" ht="12.75" customHeight="1">
      <c r="H19" s="2" t="s">
        <v>20</v>
      </c>
      <c r="I19" s="2">
        <v>-4.2539999999999996</v>
      </c>
      <c r="J19" s="2">
        <v>-5.4420000000000002</v>
      </c>
    </row>
    <row r="20" spans="1:14" ht="12.75" customHeight="1">
      <c r="H20" s="2" t="s">
        <v>20</v>
      </c>
      <c r="I20" s="2">
        <v>-4.2560000000000002</v>
      </c>
      <c r="J20" s="2">
        <v>-5.4420000000000002</v>
      </c>
    </row>
    <row r="21" spans="1:14" ht="12.75" customHeight="1">
      <c r="H21" s="2" t="s">
        <v>20</v>
      </c>
      <c r="I21" s="2">
        <v>-4.38</v>
      </c>
      <c r="J21" s="2">
        <v>-5.4420000000000002</v>
      </c>
      <c r="M21" s="3" t="s">
        <v>199</v>
      </c>
      <c r="N21" s="9">
        <f>+SLOPE(I4:I27,J4:J27)</f>
        <v>1.0544356559077899</v>
      </c>
    </row>
    <row r="22" spans="1:14" ht="12.75" customHeight="1">
      <c r="H22" s="2" t="s">
        <v>24</v>
      </c>
      <c r="I22" s="2">
        <v>-9.9309999999999992</v>
      </c>
      <c r="J22" s="2">
        <v>-11.362</v>
      </c>
      <c r="M22" s="3" t="s">
        <v>200</v>
      </c>
      <c r="N22" s="9">
        <f>+INTERCEPT(I4:I27,J4:J27)</f>
        <v>1.8913902184380573</v>
      </c>
    </row>
    <row r="23" spans="1:14" ht="12.75" customHeight="1">
      <c r="H23" s="2" t="s">
        <v>24</v>
      </c>
      <c r="I23" s="2">
        <v>-10.24</v>
      </c>
      <c r="J23" s="2">
        <v>-11.362</v>
      </c>
      <c r="M23" s="3" t="s">
        <v>205</v>
      </c>
      <c r="N23" s="9">
        <f>+PEARSON(I4:I27,J4:J27)^2</f>
        <v>0.99404329836928484</v>
      </c>
    </row>
    <row r="24" spans="1:14" ht="12.75" customHeight="1">
      <c r="H24" s="2" t="s">
        <v>24</v>
      </c>
      <c r="I24" s="2">
        <v>-9.6869999999999994</v>
      </c>
      <c r="J24" s="2">
        <v>-11.362</v>
      </c>
    </row>
    <row r="25" spans="1:14" ht="12.75" customHeight="1">
      <c r="H25" s="2" t="s">
        <v>28</v>
      </c>
      <c r="I25" s="2">
        <v>-11.224</v>
      </c>
      <c r="J25" s="2">
        <v>-12.78</v>
      </c>
    </row>
    <row r="26" spans="1:14" ht="12.75" customHeight="1">
      <c r="H26" s="2" t="s">
        <v>28</v>
      </c>
      <c r="I26" s="2">
        <v>-11.452999999999999</v>
      </c>
      <c r="J26" s="2">
        <v>-12.78</v>
      </c>
    </row>
    <row r="27" spans="1:14" ht="12.75" customHeight="1">
      <c r="H27" s="2" t="s">
        <v>28</v>
      </c>
      <c r="I27" s="2">
        <v>-11.340999999999999</v>
      </c>
      <c r="J27" s="2">
        <v>-12.78</v>
      </c>
    </row>
    <row r="30" spans="1:14" ht="12.75" customHeight="1">
      <c r="A30" s="3" t="str">
        <f>+'18O filtrado'!C1</f>
        <v>Row</v>
      </c>
      <c r="B30" s="3" t="str">
        <f>+'18O filtrado'!D1</f>
        <v>Identifier 1</v>
      </c>
      <c r="C30" s="3" t="str">
        <f>+'18O filtrado'!P1</f>
        <v>d 18O/16O</v>
      </c>
      <c r="D30" s="3" t="s">
        <v>226</v>
      </c>
      <c r="E30" s="3"/>
      <c r="F30" s="3" t="s">
        <v>225</v>
      </c>
      <c r="G30" s="3" t="s">
        <v>227</v>
      </c>
      <c r="H30" s="3"/>
    </row>
    <row r="31" spans="1:14" ht="12.75" customHeight="1">
      <c r="A31" s="2">
        <f>+'18O filtrado'!C2</f>
        <v>1</v>
      </c>
      <c r="B31" s="2" t="str">
        <f>+'18O filtrado'!D2</f>
        <v>Mar</v>
      </c>
      <c r="C31" s="2">
        <f>+'18O filtrado'!P2</f>
        <v>1.974</v>
      </c>
      <c r="D31" s="5">
        <f t="shared" ref="D31:D94" si="0">+(C31-$N$22)/$N$21</f>
        <v>7.8345019062184343E-2</v>
      </c>
      <c r="F31" s="2" t="s">
        <v>32</v>
      </c>
      <c r="G31" s="4">
        <f t="shared" ref="G31:G74" si="1">+AVERAGEIF($B$31:$B$400,F31,$D$31:$D$400)</f>
        <v>-13.945744471034843</v>
      </c>
    </row>
    <row r="32" spans="1:14" ht="12.75" customHeight="1">
      <c r="A32" s="2">
        <f>+'18O filtrado'!C3</f>
        <v>2</v>
      </c>
      <c r="B32" s="2" t="str">
        <f>+'18O filtrado'!D3</f>
        <v>Mar</v>
      </c>
      <c r="C32" s="2">
        <f>+'18O filtrado'!P3</f>
        <v>2</v>
      </c>
      <c r="D32" s="5">
        <f t="shared" ref="D32:D95" si="2">+(C32-$N$22)/$N$21</f>
        <v>0.10300275882499232</v>
      </c>
      <c r="F32" s="2" t="s">
        <v>35</v>
      </c>
      <c r="G32" s="4">
        <f t="shared" si="1"/>
        <v>-12.016750521898249</v>
      </c>
    </row>
    <row r="33" spans="1:7" ht="12.75" customHeight="1">
      <c r="A33" s="2">
        <f>+'18O filtrado'!C4</f>
        <v>3</v>
      </c>
      <c r="B33" s="2" t="str">
        <f>+'18O filtrado'!D4</f>
        <v>Mar</v>
      </c>
      <c r="C33" s="2">
        <f>+'18O filtrado'!P4</f>
        <v>1.909</v>
      </c>
      <c r="D33" s="5">
        <f t="shared" si="2"/>
        <v>1.6700669655164504E-2</v>
      </c>
      <c r="F33" s="2" t="s">
        <v>38</v>
      </c>
      <c r="G33" s="4">
        <f t="shared" si="1"/>
        <v>-6.3279254462365753</v>
      </c>
    </row>
    <row r="34" spans="1:7" ht="12.75" customHeight="1">
      <c r="A34" s="2">
        <f>+'18O filtrado'!C5</f>
        <v>4</v>
      </c>
      <c r="B34" s="2" t="str">
        <f>+'18O filtrado'!D5</f>
        <v>Buenos Aires</v>
      </c>
      <c r="C34" s="2">
        <f>+'18O filtrado'!P5</f>
        <v>-4.6500000000000004</v>
      </c>
      <c r="D34" s="5">
        <f t="shared" si="2"/>
        <v>-6.2036883728162744</v>
      </c>
      <c r="F34" s="2" t="s">
        <v>41</v>
      </c>
      <c r="G34" s="4">
        <f t="shared" si="1"/>
        <v>-3.4809048782385181</v>
      </c>
    </row>
    <row r="35" spans="1:7" ht="12.75" customHeight="1">
      <c r="A35" s="2">
        <f>+'18O filtrado'!C6</f>
        <v>5</v>
      </c>
      <c r="B35" s="2" t="str">
        <f>+'18O filtrado'!D6</f>
        <v>Buenos Aires</v>
      </c>
      <c r="C35" s="2">
        <f>+'18O filtrado'!P6</f>
        <v>-4.4560000000000004</v>
      </c>
      <c r="D35" s="5">
        <f t="shared" si="2"/>
        <v>-6.0197036992014761</v>
      </c>
      <c r="F35" s="2" t="s">
        <v>44</v>
      </c>
      <c r="G35" s="4">
        <f t="shared" si="1"/>
        <v>-7.6172407234495534</v>
      </c>
    </row>
    <row r="36" spans="1:7" ht="12.75" customHeight="1">
      <c r="A36" s="2">
        <f>+'18O filtrado'!C7</f>
        <v>6</v>
      </c>
      <c r="B36" s="2" t="str">
        <f>+'18O filtrado'!D7</f>
        <v>Buenos Aires</v>
      </c>
      <c r="C36" s="2">
        <f>+'18O filtrado'!P7</f>
        <v>-4.593</v>
      </c>
      <c r="D36" s="5">
        <f t="shared" si="2"/>
        <v>-6.1496310202593483</v>
      </c>
      <c r="F36" s="2" t="s">
        <v>49</v>
      </c>
      <c r="G36" s="4">
        <f t="shared" si="1"/>
        <v>-11.021905559929573</v>
      </c>
    </row>
    <row r="37" spans="1:7" ht="12.75" customHeight="1">
      <c r="A37" s="2">
        <f>+'18O filtrado'!C8</f>
        <v>7</v>
      </c>
      <c r="B37" s="2" t="str">
        <f>+'18O filtrado'!D8</f>
        <v>Mendoza</v>
      </c>
      <c r="C37" s="2">
        <f>+'18O filtrado'!P8</f>
        <v>-10.119</v>
      </c>
      <c r="D37" s="5">
        <f t="shared" si="2"/>
        <v>-11.390349094462302</v>
      </c>
      <c r="F37" s="2" t="s">
        <v>52</v>
      </c>
      <c r="G37" s="4">
        <f t="shared" si="1"/>
        <v>-15.260665862616889</v>
      </c>
    </row>
    <row r="38" spans="1:7" ht="12.75" customHeight="1">
      <c r="A38" s="2">
        <f>+'18O filtrado'!C9</f>
        <v>8</v>
      </c>
      <c r="B38" s="2" t="str">
        <f>+'18O filtrado'!D9</f>
        <v>Mendoza</v>
      </c>
      <c r="C38" s="2">
        <f>+'18O filtrado'!P9</f>
        <v>-10.317</v>
      </c>
      <c r="D38" s="5">
        <f t="shared" si="2"/>
        <v>-11.578127266502149</v>
      </c>
      <c r="F38" s="2" t="s">
        <v>55</v>
      </c>
      <c r="G38" s="4">
        <f t="shared" si="1"/>
        <v>-8.9198332451501976</v>
      </c>
    </row>
    <row r="39" spans="1:7" ht="12.75" customHeight="1">
      <c r="A39" s="2">
        <f>+'18O filtrado'!C10</f>
        <v>9</v>
      </c>
      <c r="B39" s="2" t="str">
        <f>+'18O filtrado'!D10</f>
        <v>Mendoza</v>
      </c>
      <c r="C39" s="2">
        <f>+'18O filtrado'!P10</f>
        <v>-10.349</v>
      </c>
      <c r="D39" s="5">
        <f t="shared" si="2"/>
        <v>-11.608475253902526</v>
      </c>
      <c r="F39" s="2" t="s">
        <v>58</v>
      </c>
      <c r="G39" s="4">
        <f t="shared" si="1"/>
        <v>-4.0807518166991352</v>
      </c>
    </row>
    <row r="40" spans="1:7" ht="12.75" customHeight="1">
      <c r="A40" s="2">
        <f>+'18O filtrado'!C11</f>
        <v>10</v>
      </c>
      <c r="B40" s="2" t="str">
        <f>+'18O filtrado'!D11</f>
        <v>Antartida</v>
      </c>
      <c r="C40" s="2">
        <f>+'18O filtrado'!P11</f>
        <v>-11.12</v>
      </c>
      <c r="D40" s="5">
        <f t="shared" si="2"/>
        <v>-12.339672075330407</v>
      </c>
      <c r="F40" s="2" t="s">
        <v>61</v>
      </c>
      <c r="G40" s="4">
        <f t="shared" si="1"/>
        <v>-6.3198642620833496</v>
      </c>
    </row>
    <row r="41" spans="1:7" ht="12.75" customHeight="1">
      <c r="A41" s="2">
        <f>+'18O filtrado'!C12</f>
        <v>11</v>
      </c>
      <c r="B41" s="2" t="str">
        <f>+'18O filtrado'!D12</f>
        <v>Antartida</v>
      </c>
      <c r="C41" s="2">
        <f>+'18O filtrado'!P12</f>
        <v>-11.542</v>
      </c>
      <c r="D41" s="5">
        <f t="shared" si="2"/>
        <v>-12.739886159172904</v>
      </c>
      <c r="F41" s="2" t="s">
        <v>66</v>
      </c>
      <c r="G41" s="4">
        <f t="shared" si="1"/>
        <v>-3.9465568099130839</v>
      </c>
    </row>
    <row r="42" spans="1:7" ht="12.75" customHeight="1">
      <c r="A42" s="2">
        <f>+'18O filtrado'!C13</f>
        <v>12</v>
      </c>
      <c r="B42" s="2" t="str">
        <f>+'18O filtrado'!D13</f>
        <v>Antartida</v>
      </c>
      <c r="C42" s="2">
        <f>+'18O filtrado'!P13</f>
        <v>-11.24</v>
      </c>
      <c r="D42" s="5">
        <f t="shared" si="2"/>
        <v>-12.453477028081828</v>
      </c>
      <c r="F42" s="2" t="s">
        <v>69</v>
      </c>
      <c r="G42" s="4">
        <f t="shared" si="1"/>
        <v>-5.7845067968485386</v>
      </c>
    </row>
    <row r="43" spans="1:7" ht="12.75" customHeight="1">
      <c r="A43" s="2">
        <f>+'18O filtrado'!C14</f>
        <v>13</v>
      </c>
      <c r="B43" s="2" t="str">
        <f>+'18O filtrado'!D14</f>
        <v>A017</v>
      </c>
      <c r="C43" s="2">
        <f>+'18O filtrado'!P14</f>
        <v>-12.827999999999999</v>
      </c>
      <c r="D43" s="5">
        <f t="shared" si="2"/>
        <v>-13.959495902825639</v>
      </c>
      <c r="F43" s="2" t="s">
        <v>73</v>
      </c>
      <c r="G43" s="4">
        <f t="shared" si="1"/>
        <v>-3.8403388540117573</v>
      </c>
    </row>
    <row r="44" spans="1:7" ht="12.75" customHeight="1">
      <c r="A44" s="2">
        <f>+'18O filtrado'!C15</f>
        <v>14</v>
      </c>
      <c r="B44" s="2" t="str">
        <f>+'18O filtrado'!D15</f>
        <v>A017</v>
      </c>
      <c r="C44" s="2">
        <f>+'18O filtrado'!P15</f>
        <v>-12.798999999999999</v>
      </c>
      <c r="D44" s="5">
        <f t="shared" si="2"/>
        <v>-13.931993039244045</v>
      </c>
      <c r="F44" s="2" t="s">
        <v>76</v>
      </c>
      <c r="G44" s="4">
        <f t="shared" si="1"/>
        <v>-5.8067936000956921</v>
      </c>
    </row>
    <row r="45" spans="1:7" ht="12.75" customHeight="1">
      <c r="A45" s="2">
        <f>+'18O filtrado'!C16</f>
        <v>15</v>
      </c>
      <c r="B45" s="2" t="str">
        <f>+'18O filtrado'!D16</f>
        <v>A018</v>
      </c>
      <c r="C45" s="2">
        <f>+'18O filtrado'!P16</f>
        <v>-10.734</v>
      </c>
      <c r="D45" s="5">
        <f t="shared" si="2"/>
        <v>-11.973599477313336</v>
      </c>
      <c r="F45" s="2" t="s">
        <v>79</v>
      </c>
      <c r="G45" s="4">
        <f t="shared" si="1"/>
        <v>-4.2656848649201944</v>
      </c>
    </row>
    <row r="46" spans="1:7" ht="12.75" customHeight="1">
      <c r="A46" s="2">
        <f>+'18O filtrado'!C17</f>
        <v>16</v>
      </c>
      <c r="B46" s="2" t="str">
        <f>+'18O filtrado'!D17</f>
        <v>A018</v>
      </c>
      <c r="C46" s="2">
        <f>+'18O filtrado'!P17</f>
        <v>-10.824999999999999</v>
      </c>
      <c r="D46" s="5">
        <f t="shared" si="2"/>
        <v>-12.059901566483164</v>
      </c>
      <c r="F46" s="2" t="s">
        <v>84</v>
      </c>
      <c r="G46" s="4">
        <f t="shared" si="1"/>
        <v>-15.423786294893926</v>
      </c>
    </row>
    <row r="47" spans="1:7" ht="12.75" customHeight="1">
      <c r="A47" s="2">
        <f>+'18O filtrado'!C18</f>
        <v>17</v>
      </c>
      <c r="B47" s="2" t="str">
        <f>+'18O filtrado'!D18</f>
        <v>A019</v>
      </c>
      <c r="C47" s="2">
        <f>+'18O filtrado'!P18</f>
        <v>-5.093</v>
      </c>
      <c r="D47" s="5">
        <f t="shared" si="2"/>
        <v>-6.623818323390271</v>
      </c>
      <c r="F47" s="2" t="s">
        <v>87</v>
      </c>
      <c r="G47" s="4">
        <f t="shared" si="1"/>
        <v>-3.2523465981294137</v>
      </c>
    </row>
    <row r="48" spans="1:7" ht="12.75" customHeight="1">
      <c r="A48" s="2">
        <f>+'18O filtrado'!C19</f>
        <v>18</v>
      </c>
      <c r="B48" s="2" t="str">
        <f>+'18O filtrado'!D19</f>
        <v>A019</v>
      </c>
      <c r="C48" s="2">
        <f>+'18O filtrado'!P19</f>
        <v>-4.4690000000000003</v>
      </c>
      <c r="D48" s="5">
        <f t="shared" si="2"/>
        <v>-6.0320325690828804</v>
      </c>
      <c r="F48" s="2" t="s">
        <v>90</v>
      </c>
      <c r="G48" s="4">
        <f t="shared" si="1"/>
        <v>-2.0289433560516343</v>
      </c>
    </row>
    <row r="49" spans="1:7" ht="12.75" customHeight="1">
      <c r="A49" s="2">
        <f>+'18O filtrado'!C20</f>
        <v>19</v>
      </c>
      <c r="B49" s="2" t="str">
        <f>+'18O filtrado'!D20</f>
        <v>A020</v>
      </c>
      <c r="C49" s="2">
        <f>+'18O filtrado'!P20</f>
        <v>-1.7909999999999999</v>
      </c>
      <c r="D49" s="5">
        <f t="shared" si="2"/>
        <v>-3.4922853735136603</v>
      </c>
      <c r="F49" s="2" t="s">
        <v>93</v>
      </c>
      <c r="G49" s="4">
        <f t="shared" si="1"/>
        <v>-3.3049813887769459</v>
      </c>
    </row>
    <row r="50" spans="1:7" ht="12.75" customHeight="1">
      <c r="A50" s="2">
        <f>+'18O filtrado'!C21</f>
        <v>20</v>
      </c>
      <c r="B50" s="2" t="str">
        <f>+'18O filtrado'!D21</f>
        <v>A020</v>
      </c>
      <c r="C50" s="2">
        <f>+'18O filtrado'!P21</f>
        <v>-1.7669999999999999</v>
      </c>
      <c r="D50" s="5">
        <f t="shared" si="2"/>
        <v>-3.469524382963376</v>
      </c>
      <c r="F50" s="2" t="s">
        <v>96</v>
      </c>
      <c r="G50" s="4">
        <f t="shared" si="1"/>
        <v>-5.0101589308357424</v>
      </c>
    </row>
    <row r="51" spans="1:7" ht="12.75" customHeight="1">
      <c r="A51" s="2">
        <f>+'18O filtrado'!C22</f>
        <v>21</v>
      </c>
      <c r="B51" s="2" t="str">
        <f>+'18O filtrado'!D22</f>
        <v>A021</v>
      </c>
      <c r="C51" s="2">
        <f>+'18O filtrado'!P22</f>
        <v>-6.0709999999999997</v>
      </c>
      <c r="D51" s="5">
        <f t="shared" si="2"/>
        <v>-7.5513286883143547</v>
      </c>
      <c r="F51" s="2" t="s">
        <v>101</v>
      </c>
      <c r="G51" s="4">
        <f t="shared" si="1"/>
        <v>-3.3386486872992416</v>
      </c>
    </row>
    <row r="52" spans="1:7" ht="12.75" customHeight="1">
      <c r="A52" s="2">
        <f>+'18O filtrado'!C23</f>
        <v>22</v>
      </c>
      <c r="B52" s="2" t="str">
        <f>+'18O filtrado'!D23</f>
        <v>A021</v>
      </c>
      <c r="C52" s="2">
        <f>+'18O filtrado'!P23</f>
        <v>-6.21</v>
      </c>
      <c r="D52" s="5">
        <f t="shared" si="2"/>
        <v>-7.6831527585847512</v>
      </c>
      <c r="F52" s="2" t="s">
        <v>104</v>
      </c>
      <c r="G52" s="4">
        <f t="shared" si="1"/>
        <v>-6.7698680127545945</v>
      </c>
    </row>
    <row r="53" spans="1:7" ht="12.75" customHeight="1">
      <c r="A53" s="2">
        <f>+'18O filtrado'!C24</f>
        <v>23</v>
      </c>
      <c r="B53" s="2" t="str">
        <f>+'18O filtrado'!D24</f>
        <v>Buenos Aires</v>
      </c>
      <c r="C53" s="2">
        <f>+'18O filtrado'!P24</f>
        <v>-4.4889999999999999</v>
      </c>
      <c r="D53" s="5">
        <f t="shared" si="2"/>
        <v>-6.051000061208117</v>
      </c>
      <c r="F53" s="2" t="s">
        <v>107</v>
      </c>
      <c r="G53" s="4">
        <f t="shared" si="1"/>
        <v>-15.304291094504933</v>
      </c>
    </row>
    <row r="54" spans="1:7" ht="12.75" customHeight="1">
      <c r="A54" s="2">
        <f>+'18O filtrado'!C25</f>
        <v>24</v>
      </c>
      <c r="B54" s="2" t="str">
        <f>+'18O filtrado'!D25</f>
        <v>Buenos Aires</v>
      </c>
      <c r="C54" s="2">
        <f>+'18O filtrado'!P25</f>
        <v>-4.6360000000000001</v>
      </c>
      <c r="D54" s="5">
        <f t="shared" si="2"/>
        <v>-6.1904111283286083</v>
      </c>
      <c r="F54" s="2" t="s">
        <v>110</v>
      </c>
      <c r="G54" s="4">
        <f t="shared" si="1"/>
        <v>-13.413232129618816</v>
      </c>
    </row>
    <row r="55" spans="1:7" ht="12.75" customHeight="1">
      <c r="A55" s="2">
        <f>+'18O filtrado'!C26</f>
        <v>25</v>
      </c>
      <c r="B55" s="2" t="str">
        <f>+'18O filtrado'!D26</f>
        <v>A022</v>
      </c>
      <c r="C55" s="2">
        <f>+'18O filtrado'!P26</f>
        <v>-9.5619999999999994</v>
      </c>
      <c r="D55" s="5">
        <f t="shared" si="2"/>
        <v>-10.862104438774452</v>
      </c>
      <c r="F55" s="2" t="s">
        <v>113</v>
      </c>
      <c r="G55" s="4">
        <f t="shared" si="1"/>
        <v>-8.8121927273394771</v>
      </c>
    </row>
    <row r="56" spans="1:7" ht="12.75" customHeight="1">
      <c r="A56" s="2">
        <f>+'18O filtrado'!C27</f>
        <v>26</v>
      </c>
      <c r="B56" s="2" t="str">
        <f>+'18O filtrado'!D27</f>
        <v>A022</v>
      </c>
      <c r="C56" s="2">
        <f>+'18O filtrado'!P27</f>
        <v>-9.8989999999999991</v>
      </c>
      <c r="D56" s="5">
        <f t="shared" si="2"/>
        <v>-11.181706681084695</v>
      </c>
      <c r="F56" s="2" t="s">
        <v>118</v>
      </c>
      <c r="G56" s="4">
        <f t="shared" si="1"/>
        <v>-4.3462967064524509</v>
      </c>
    </row>
    <row r="57" spans="1:7" ht="12.75" customHeight="1">
      <c r="A57" s="2">
        <f>+'18O filtrado'!C28</f>
        <v>27</v>
      </c>
      <c r="B57" s="2" t="str">
        <f>+'18O filtrado'!D28</f>
        <v>A023</v>
      </c>
      <c r="C57" s="2">
        <f>+'18O filtrado'!P28</f>
        <v>-14.07</v>
      </c>
      <c r="D57" s="5">
        <f t="shared" si="2"/>
        <v>-15.137377163802851</v>
      </c>
      <c r="F57" s="2" t="s">
        <v>121</v>
      </c>
      <c r="G57" s="4">
        <f t="shared" si="1"/>
        <v>-1.6050199070525897</v>
      </c>
    </row>
    <row r="58" spans="1:7" ht="12.75" customHeight="1">
      <c r="A58" s="2">
        <f>+'18O filtrado'!C29</f>
        <v>28</v>
      </c>
      <c r="B58" s="2" t="str">
        <f>+'18O filtrado'!D29</f>
        <v>A023</v>
      </c>
      <c r="C58" s="2">
        <f>+'18O filtrado'!P29</f>
        <v>-14.33</v>
      </c>
      <c r="D58" s="5">
        <f t="shared" si="2"/>
        <v>-15.383954561430928</v>
      </c>
      <c r="F58" s="2" t="s">
        <v>124</v>
      </c>
      <c r="G58" s="4">
        <f t="shared" si="1"/>
        <v>1.1746660639008766</v>
      </c>
    </row>
    <row r="59" spans="1:7" ht="12.75" customHeight="1">
      <c r="A59" s="2">
        <f>+'18O filtrado'!C30</f>
        <v>29</v>
      </c>
      <c r="B59" s="2" t="str">
        <f>+'18O filtrado'!D30</f>
        <v>A024</v>
      </c>
      <c r="C59" s="2">
        <f>+'18O filtrado'!P30</f>
        <v>-7.8310000000000004</v>
      </c>
      <c r="D59" s="5">
        <f t="shared" si="2"/>
        <v>-9.220467995335202</v>
      </c>
      <c r="F59" s="2" t="s">
        <v>127</v>
      </c>
      <c r="G59" s="4">
        <f t="shared" si="1"/>
        <v>-2.781478606120408</v>
      </c>
    </row>
    <row r="60" spans="1:7" ht="12.75" customHeight="1">
      <c r="A60" s="2">
        <f>+'18O filtrado'!C31</f>
        <v>30</v>
      </c>
      <c r="B60" s="2" t="str">
        <f>+'18O filtrado'!D31</f>
        <v>A024</v>
      </c>
      <c r="C60" s="2">
        <f>+'18O filtrado'!P31</f>
        <v>-7.1970000000000001</v>
      </c>
      <c r="D60" s="5">
        <f t="shared" si="2"/>
        <v>-8.6191984949651914</v>
      </c>
      <c r="F60" s="2" t="s">
        <v>130</v>
      </c>
      <c r="G60" s="4">
        <f t="shared" si="1"/>
        <v>-4.6587861392157297</v>
      </c>
    </row>
    <row r="61" spans="1:7">
      <c r="A61" s="2">
        <f>+'18O filtrado'!C32</f>
        <v>31</v>
      </c>
      <c r="B61" s="2" t="str">
        <f>+'18O filtrado'!D32</f>
        <v>A025</v>
      </c>
      <c r="C61" s="2">
        <f>+'18O filtrado'!P32</f>
        <v>-2.4409999999999998</v>
      </c>
      <c r="D61" s="5">
        <f t="shared" si="2"/>
        <v>-4.1087288675838591</v>
      </c>
      <c r="F61" s="2" t="s">
        <v>135</v>
      </c>
      <c r="G61" s="4">
        <f t="shared" si="1"/>
        <v>-7.4925294627261207</v>
      </c>
    </row>
    <row r="62" spans="1:7">
      <c r="A62" s="2">
        <f>+'18O filtrado'!C33</f>
        <v>32</v>
      </c>
      <c r="B62" s="2" t="str">
        <f>+'18O filtrado'!D33</f>
        <v>A025</v>
      </c>
      <c r="C62" s="2">
        <f>+'18O filtrado'!P33</f>
        <v>-2.3820000000000001</v>
      </c>
      <c r="D62" s="5">
        <f t="shared" si="2"/>
        <v>-4.0527747658144113</v>
      </c>
      <c r="F62" s="2" t="s">
        <v>138</v>
      </c>
      <c r="G62" s="4">
        <f t="shared" si="1"/>
        <v>-5.8347706509804169</v>
      </c>
    </row>
    <row r="63" spans="1:7">
      <c r="A63" s="2">
        <f>+'18O filtrado'!C34</f>
        <v>33</v>
      </c>
      <c r="B63" s="2" t="str">
        <f>+'18O filtrado'!D34</f>
        <v>A026</v>
      </c>
      <c r="C63" s="2">
        <f>+'18O filtrado'!P34</f>
        <v>-4.7839999999999998</v>
      </c>
      <c r="D63" s="5">
        <f t="shared" si="2"/>
        <v>-6.3307705700553605</v>
      </c>
      <c r="F63" s="2" t="s">
        <v>141</v>
      </c>
      <c r="G63" s="4">
        <f t="shared" si="1"/>
        <v>-12.168964646203277</v>
      </c>
    </row>
    <row r="64" spans="1:7">
      <c r="A64" s="2">
        <f>+'18O filtrado'!C35</f>
        <v>34</v>
      </c>
      <c r="B64" s="2" t="str">
        <f>+'18O filtrado'!D35</f>
        <v>A026</v>
      </c>
      <c r="C64" s="2">
        <f>+'18O filtrado'!P35</f>
        <v>-4.7610000000000001</v>
      </c>
      <c r="D64" s="5">
        <f t="shared" si="2"/>
        <v>-6.3089579541113388</v>
      </c>
      <c r="F64" s="2" t="s">
        <v>144</v>
      </c>
      <c r="G64" s="4">
        <f t="shared" si="1"/>
        <v>-11.461003002628809</v>
      </c>
    </row>
    <row r="65" spans="1:7">
      <c r="A65" s="2">
        <f>+'18O filtrado'!C36</f>
        <v>35</v>
      </c>
      <c r="B65" s="2" t="str">
        <f>+'18O filtrado'!D36</f>
        <v>Buenos Aires</v>
      </c>
      <c r="C65" s="2">
        <f>+'18O filtrado'!P36</f>
        <v>-4.5810000000000004</v>
      </c>
      <c r="D65" s="5">
        <f t="shared" si="2"/>
        <v>-6.1382505249842065</v>
      </c>
      <c r="F65" s="2" t="s">
        <v>147</v>
      </c>
      <c r="G65" s="4">
        <f t="shared" si="1"/>
        <v>-7.9766746992227917</v>
      </c>
    </row>
    <row r="66" spans="1:7">
      <c r="A66" s="2">
        <f>+'18O filtrado'!C37</f>
        <v>36</v>
      </c>
      <c r="B66" s="2" t="str">
        <f>+'18O filtrado'!D37</f>
        <v>Buenos Aires</v>
      </c>
      <c r="C66" s="2">
        <f>+'18O filtrado'!P37</f>
        <v>-4.4569999999999999</v>
      </c>
      <c r="D66" s="5">
        <f t="shared" si="2"/>
        <v>-6.0206520738077378</v>
      </c>
      <c r="F66" s="2" t="s">
        <v>152</v>
      </c>
      <c r="G66" s="4">
        <f t="shared" si="1"/>
        <v>-6.3943116686749049</v>
      </c>
    </row>
    <row r="67" spans="1:7">
      <c r="A67" s="2">
        <f>+'18O filtrado'!C38</f>
        <v>37</v>
      </c>
      <c r="B67" s="2" t="str">
        <f>+'18O filtrado'!D38</f>
        <v>A027</v>
      </c>
      <c r="C67" s="2">
        <f>+'18O filtrado'!P38</f>
        <v>-2.4889999999999999</v>
      </c>
      <c r="D67" s="5">
        <f t="shared" si="2"/>
        <v>-4.1542508486844278</v>
      </c>
      <c r="F67" s="2" t="s">
        <v>155</v>
      </c>
      <c r="G67" s="4">
        <f t="shared" si="1"/>
        <v>-5.7598490570857308</v>
      </c>
    </row>
    <row r="68" spans="1:7">
      <c r="A68" s="2">
        <f>+'18O filtrado'!C39</f>
        <v>38</v>
      </c>
      <c r="B68" s="2" t="str">
        <f>+'18O filtrado'!D39</f>
        <v>A027</v>
      </c>
      <c r="C68" s="2">
        <f>+'18O filtrado'!P39</f>
        <v>-2.0510000000000002</v>
      </c>
      <c r="D68" s="5">
        <f t="shared" si="2"/>
        <v>-3.7388627711417399</v>
      </c>
      <c r="F68" s="2" t="s">
        <v>158</v>
      </c>
      <c r="G68" s="4">
        <f t="shared" si="1"/>
        <v>-5.453998246566286</v>
      </c>
    </row>
    <row r="69" spans="1:7">
      <c r="A69" s="2">
        <f>+'18O filtrado'!C40</f>
        <v>39</v>
      </c>
      <c r="B69" s="2" t="str">
        <f>+'18O filtrado'!D40</f>
        <v>A028</v>
      </c>
      <c r="C69" s="2">
        <f>+'18O filtrado'!P40</f>
        <v>-4.1929999999999996</v>
      </c>
      <c r="D69" s="5">
        <f t="shared" si="2"/>
        <v>-5.7702811777546108</v>
      </c>
      <c r="F69" s="2" t="s">
        <v>161</v>
      </c>
      <c r="G69" s="4">
        <f t="shared" si="1"/>
        <v>-4.5554133071331879</v>
      </c>
    </row>
    <row r="70" spans="1:7">
      <c r="A70" s="2">
        <f>+'18O filtrado'!C41</f>
        <v>40</v>
      </c>
      <c r="B70" s="2" t="str">
        <f>+'18O filtrado'!D41</f>
        <v>A028</v>
      </c>
      <c r="C70" s="2">
        <f>+'18O filtrado'!P41</f>
        <v>-4.2229999999999999</v>
      </c>
      <c r="D70" s="5">
        <f t="shared" si="2"/>
        <v>-5.7987324159424665</v>
      </c>
      <c r="F70" s="2" t="s">
        <v>164</v>
      </c>
      <c r="G70" s="4">
        <f t="shared" si="1"/>
        <v>-3.7801170665141299</v>
      </c>
    </row>
    <row r="71" spans="1:7">
      <c r="A71" s="2">
        <f>+'18O filtrado'!C42</f>
        <v>41</v>
      </c>
      <c r="B71" s="2" t="str">
        <f>+'18O filtrado'!D42</f>
        <v>A029</v>
      </c>
      <c r="C71" s="2">
        <f>+'18O filtrado'!P42</f>
        <v>-2.1030000000000002</v>
      </c>
      <c r="D71" s="5">
        <f t="shared" si="2"/>
        <v>-3.788178250667356</v>
      </c>
      <c r="F71" s="2" t="s">
        <v>169</v>
      </c>
      <c r="G71" s="4">
        <f t="shared" si="1"/>
        <v>-4.383757503399794</v>
      </c>
    </row>
    <row r="72" spans="1:7">
      <c r="A72" s="2">
        <f>+'18O filtrado'!C43</f>
        <v>42</v>
      </c>
      <c r="B72" s="2" t="str">
        <f>+'18O filtrado'!D43</f>
        <v>A029</v>
      </c>
      <c r="C72" s="2">
        <f>+'18O filtrado'!P43</f>
        <v>-2.2130000000000001</v>
      </c>
      <c r="D72" s="5">
        <f t="shared" si="2"/>
        <v>-3.8924994573561587</v>
      </c>
      <c r="G72" s="4"/>
    </row>
    <row r="73" spans="1:7">
      <c r="A73" s="2">
        <f>+'18O filtrado'!C44</f>
        <v>43</v>
      </c>
      <c r="B73" s="2" t="str">
        <f>+'18O filtrado'!D44</f>
        <v>A030</v>
      </c>
      <c r="C73" s="2">
        <f>+'18O filtrado'!P44</f>
        <v>-4.165</v>
      </c>
      <c r="D73" s="5">
        <f t="shared" si="2"/>
        <v>-5.7437266887792795</v>
      </c>
      <c r="F73" s="2" t="s">
        <v>172</v>
      </c>
      <c r="G73" s="4">
        <f t="shared" si="1"/>
        <v>-3.683857043978553</v>
      </c>
    </row>
    <row r="74" spans="1:7">
      <c r="A74" s="2">
        <f>+'18O filtrado'!C45</f>
        <v>44</v>
      </c>
      <c r="B74" s="2" t="str">
        <f>+'18O filtrado'!D45</f>
        <v>A030</v>
      </c>
      <c r="C74" s="2">
        <f>+'18O filtrado'!P45</f>
        <v>-4.298</v>
      </c>
      <c r="D74" s="5">
        <f t="shared" si="2"/>
        <v>-5.8698605114121047</v>
      </c>
      <c r="F74" s="2" t="s">
        <v>175</v>
      </c>
      <c r="G74" s="4">
        <f t="shared" si="1"/>
        <v>-2.2963849950174744</v>
      </c>
    </row>
    <row r="75" spans="1:7">
      <c r="A75" s="2">
        <f>+'18O filtrado'!C46</f>
        <v>45</v>
      </c>
      <c r="B75" s="2" t="str">
        <f>+'18O filtrado'!D46</f>
        <v>A031</v>
      </c>
      <c r="C75" s="2">
        <f>+'18O filtrado'!P46</f>
        <v>-2.8029999999999999</v>
      </c>
      <c r="D75" s="5">
        <f t="shared" si="2"/>
        <v>-4.452040475050647</v>
      </c>
    </row>
    <row r="76" spans="1:7">
      <c r="A76" s="2">
        <f>+'18O filtrado'!C47</f>
        <v>46</v>
      </c>
      <c r="B76" s="2" t="str">
        <f>+'18O filtrado'!D47</f>
        <v>A031</v>
      </c>
      <c r="C76" s="2">
        <f>+'18O filtrado'!P47</f>
        <v>-2.41</v>
      </c>
      <c r="D76" s="5">
        <f t="shared" si="2"/>
        <v>-4.0793292547897426</v>
      </c>
    </row>
    <row r="77" spans="1:7">
      <c r="A77" s="2">
        <f>+'18O filtrado'!C48</f>
        <v>47</v>
      </c>
      <c r="B77" s="2" t="str">
        <f>+'18O filtrado'!D48</f>
        <v>Buenos Aires</v>
      </c>
      <c r="C77" s="2">
        <f>+'18O filtrado'!P48</f>
        <v>-4.4059999999999997</v>
      </c>
      <c r="D77" s="5">
        <f t="shared" si="2"/>
        <v>-5.972284968888383</v>
      </c>
    </row>
    <row r="78" spans="1:7">
      <c r="A78" s="2">
        <f>+'18O filtrado'!C49</f>
        <v>48</v>
      </c>
      <c r="B78" s="2" t="str">
        <f>+'18O filtrado'!D49</f>
        <v>Buenos Aires</v>
      </c>
      <c r="C78" s="2">
        <f>+'18O filtrado'!P49</f>
        <v>-4.5940000000000003</v>
      </c>
      <c r="D78" s="5">
        <f t="shared" si="2"/>
        <v>-6.1505793948656109</v>
      </c>
    </row>
    <row r="79" spans="1:7">
      <c r="A79" s="2">
        <f>+'18O filtrado'!C50</f>
        <v>49</v>
      </c>
      <c r="B79" s="2" t="str">
        <f>+'18O filtrado'!D50</f>
        <v>A032</v>
      </c>
      <c r="C79" s="2">
        <f>+'18O filtrado'!P50</f>
        <v>-14.414</v>
      </c>
      <c r="D79" s="5">
        <f t="shared" si="2"/>
        <v>-15.463618028356922</v>
      </c>
    </row>
    <row r="80" spans="1:7">
      <c r="A80" s="2">
        <f>+'18O filtrado'!C51</f>
        <v>50</v>
      </c>
      <c r="B80" s="2" t="str">
        <f>+'18O filtrado'!D51</f>
        <v>A032</v>
      </c>
      <c r="C80" s="2">
        <f>+'18O filtrado'!P51</f>
        <v>-14.33</v>
      </c>
      <c r="D80" s="5">
        <f t="shared" si="2"/>
        <v>-15.383954561430928</v>
      </c>
    </row>
    <row r="81" spans="1:4">
      <c r="A81" s="2">
        <f>+'18O filtrado'!C52</f>
        <v>51</v>
      </c>
      <c r="B81" s="2" t="str">
        <f>+'18O filtrado'!D52</f>
        <v>A033</v>
      </c>
      <c r="C81" s="2">
        <f>+'18O filtrado'!P52</f>
        <v>-1.5840000000000001</v>
      </c>
      <c r="D81" s="5">
        <f t="shared" si="2"/>
        <v>-3.2959718300174585</v>
      </c>
    </row>
    <row r="82" spans="1:4">
      <c r="A82" s="2">
        <f>+'18O filtrado'!C53</f>
        <v>52</v>
      </c>
      <c r="B82" s="2" t="str">
        <f>+'18O filtrado'!D53</f>
        <v>A033</v>
      </c>
      <c r="C82" s="2">
        <f>+'18O filtrado'!P53</f>
        <v>-1.492</v>
      </c>
      <c r="D82" s="5">
        <f t="shared" si="2"/>
        <v>-3.2087213662413689</v>
      </c>
    </row>
    <row r="83" spans="1:4">
      <c r="A83" s="2">
        <f>+'18O filtrado'!C54</f>
        <v>53</v>
      </c>
      <c r="B83" s="2" t="str">
        <f>+'18O filtrado'!D54</f>
        <v>A034</v>
      </c>
      <c r="C83" s="2">
        <f>+'18O filtrado'!P54</f>
        <v>-0.224</v>
      </c>
      <c r="D83" s="5">
        <f t="shared" si="2"/>
        <v>-2.00618236550135</v>
      </c>
    </row>
    <row r="84" spans="1:4">
      <c r="A84" s="2">
        <f>+'18O filtrado'!C55</f>
        <v>54</v>
      </c>
      <c r="B84" s="2" t="str">
        <f>+'18O filtrado'!D55</f>
        <v>A034</v>
      </c>
      <c r="C84" s="2">
        <f>+'18O filtrado'!P55</f>
        <v>-0.27200000000000002</v>
      </c>
      <c r="D84" s="5">
        <f t="shared" si="2"/>
        <v>-2.0517043466019187</v>
      </c>
    </row>
    <row r="85" spans="1:4">
      <c r="A85" s="2">
        <f>+'18O filtrado'!C56</f>
        <v>55</v>
      </c>
      <c r="B85" s="2" t="str">
        <f>+'18O filtrado'!D56</f>
        <v>A035</v>
      </c>
      <c r="C85" s="2">
        <f>+'18O filtrado'!P56</f>
        <v>-1.611</v>
      </c>
      <c r="D85" s="5">
        <f t="shared" si="2"/>
        <v>-3.3215779443865281</v>
      </c>
    </row>
    <row r="86" spans="1:4">
      <c r="A86" s="2">
        <f>+'18O filtrado'!C57</f>
        <v>56</v>
      </c>
      <c r="B86" s="2" t="str">
        <f>+'18O filtrado'!D57</f>
        <v>A035</v>
      </c>
      <c r="C86" s="2">
        <f>+'18O filtrado'!P57</f>
        <v>-1.5760000000000001</v>
      </c>
      <c r="D86" s="5">
        <f t="shared" si="2"/>
        <v>-3.2883848331673637</v>
      </c>
    </row>
    <row r="87" spans="1:4">
      <c r="A87" s="2">
        <f>+'18O filtrado'!C58</f>
        <v>57</v>
      </c>
      <c r="B87" s="2" t="str">
        <f>+'18O filtrado'!D58</f>
        <v>A036</v>
      </c>
      <c r="C87" s="2">
        <f>+'18O filtrado'!P58</f>
        <v>-3.5110000000000001</v>
      </c>
      <c r="D87" s="5">
        <f t="shared" si="2"/>
        <v>-5.1234896962840333</v>
      </c>
    </row>
    <row r="88" spans="1:4">
      <c r="A88" s="2">
        <f>+'18O filtrado'!C59</f>
        <v>58</v>
      </c>
      <c r="B88" s="2" t="str">
        <f>+'18O filtrado'!D59</f>
        <v>A036</v>
      </c>
      <c r="C88" s="2">
        <f>+'18O filtrado'!P59</f>
        <v>-3.2719999999999998</v>
      </c>
      <c r="D88" s="5">
        <f t="shared" si="2"/>
        <v>-4.8968281653874515</v>
      </c>
    </row>
    <row r="89" spans="1:4">
      <c r="A89" s="2">
        <f>+'18O filtrado'!C60</f>
        <v>59</v>
      </c>
      <c r="B89" s="2" t="str">
        <f>+'18O filtrado'!D60</f>
        <v>Buenos Aires</v>
      </c>
      <c r="C89" s="2">
        <f>+'18O filtrado'!P60</f>
        <v>-4.5659999999999998</v>
      </c>
      <c r="D89" s="5">
        <f t="shared" si="2"/>
        <v>-6.1240249058902787</v>
      </c>
    </row>
    <row r="90" spans="1:4">
      <c r="A90" s="2">
        <f>+'18O filtrado'!C61</f>
        <v>60</v>
      </c>
      <c r="B90" s="2" t="str">
        <f>+'18O filtrado'!D61</f>
        <v>Buenos Aires</v>
      </c>
      <c r="C90" s="2">
        <f>+'18O filtrado'!P61</f>
        <v>-4.5250000000000004</v>
      </c>
      <c r="D90" s="5">
        <f t="shared" si="2"/>
        <v>-6.0851415470335439</v>
      </c>
    </row>
    <row r="91" spans="1:4">
      <c r="A91" s="2">
        <f>+'18O filtrado'!C62</f>
        <v>61</v>
      </c>
      <c r="B91" s="2" t="str">
        <f>+'18O filtrado'!D62</f>
        <v>A037</v>
      </c>
      <c r="C91" s="2">
        <f>+'18O filtrado'!P62</f>
        <v>-1.5449999999999999</v>
      </c>
      <c r="D91" s="5">
        <f t="shared" si="2"/>
        <v>-3.2589852203732463</v>
      </c>
    </row>
    <row r="92" spans="1:4">
      <c r="A92" s="2">
        <f>+'18O filtrado'!C63</f>
        <v>62</v>
      </c>
      <c r="B92" s="2" t="str">
        <f>+'18O filtrado'!D63</f>
        <v>A037</v>
      </c>
      <c r="C92" s="2">
        <f>+'18O filtrado'!P63</f>
        <v>-1.7130000000000001</v>
      </c>
      <c r="D92" s="5">
        <f t="shared" si="2"/>
        <v>-3.4183121542252364</v>
      </c>
    </row>
    <row r="93" spans="1:4">
      <c r="A93" s="2">
        <f>+'18O filtrado'!C64</f>
        <v>63</v>
      </c>
      <c r="B93" s="2" t="str">
        <f>+'18O filtrado'!D64</f>
        <v>A038</v>
      </c>
      <c r="C93" s="2">
        <f>+'18O filtrado'!P64</f>
        <v>-5.1280000000000001</v>
      </c>
      <c r="D93" s="5">
        <f t="shared" si="2"/>
        <v>-6.6570114346094353</v>
      </c>
    </row>
    <row r="94" spans="1:4">
      <c r="A94" s="2">
        <f>+'18O filtrado'!C65</f>
        <v>64</v>
      </c>
      <c r="B94" s="2" t="str">
        <f>+'18O filtrado'!D65</f>
        <v>A038</v>
      </c>
      <c r="C94" s="2">
        <f>+'18O filtrado'!P65</f>
        <v>-5.3659999999999997</v>
      </c>
      <c r="D94" s="5">
        <f t="shared" si="2"/>
        <v>-6.8827245908997545</v>
      </c>
    </row>
    <row r="95" spans="1:4">
      <c r="A95" s="2">
        <f>+'18O filtrado'!C66</f>
        <v>65</v>
      </c>
      <c r="B95" s="2" t="str">
        <f>+'18O filtrado'!D66</f>
        <v>A039</v>
      </c>
      <c r="C95" s="2">
        <f>+'18O filtrado'!P66</f>
        <v>-14.374000000000001</v>
      </c>
      <c r="D95" s="5">
        <f t="shared" si="2"/>
        <v>-15.425683044106449</v>
      </c>
    </row>
    <row r="96" spans="1:4">
      <c r="A96" s="2">
        <f>+'18O filtrado'!C67</f>
        <v>66</v>
      </c>
      <c r="B96" s="2" t="str">
        <f>+'18O filtrado'!D67</f>
        <v>A039</v>
      </c>
      <c r="C96" s="2">
        <f>+'18O filtrado'!P67</f>
        <v>-14.118</v>
      </c>
      <c r="D96" s="5">
        <f t="shared" ref="D96:D159" si="3">+(C96-$N$22)/$N$21</f>
        <v>-15.182899144903418</v>
      </c>
    </row>
    <row r="97" spans="1:4">
      <c r="A97" s="2">
        <f>+'18O filtrado'!C68</f>
        <v>67</v>
      </c>
      <c r="B97" s="2" t="str">
        <f>+'18O filtrado'!D68</f>
        <v>A040</v>
      </c>
      <c r="C97" s="2">
        <f>+'18O filtrado'!P68</f>
        <v>-12.234999999999999</v>
      </c>
      <c r="D97" s="5">
        <f t="shared" si="3"/>
        <v>-13.397109761312365</v>
      </c>
    </row>
    <row r="98" spans="1:4">
      <c r="A98" s="2">
        <f>+'18O filtrado'!C69</f>
        <v>68</v>
      </c>
      <c r="B98" s="2" t="str">
        <f>+'18O filtrado'!D69</f>
        <v>A040</v>
      </c>
      <c r="C98" s="2">
        <f>+'18O filtrado'!P69</f>
        <v>-12.269</v>
      </c>
      <c r="D98" s="5">
        <f t="shared" si="3"/>
        <v>-13.429354497925267</v>
      </c>
    </row>
    <row r="99" spans="1:4">
      <c r="A99" s="2">
        <f>+'18O filtrado'!C70</f>
        <v>69</v>
      </c>
      <c r="B99" s="2" t="str">
        <f>+'18O filtrado'!D70</f>
        <v>A041</v>
      </c>
      <c r="C99" s="2">
        <f>+'18O filtrado'!P70</f>
        <v>-7.3840000000000003</v>
      </c>
      <c r="D99" s="5">
        <f t="shared" si="3"/>
        <v>-8.7965445463361576</v>
      </c>
    </row>
    <row r="100" spans="1:4">
      <c r="A100" s="2">
        <f>+'18O filtrado'!C71</f>
        <v>70</v>
      </c>
      <c r="B100" s="2" t="str">
        <f>+'18O filtrado'!D71</f>
        <v>A041</v>
      </c>
      <c r="C100" s="2">
        <f>+'18O filtrado'!P71</f>
        <v>-7.4169999999999998</v>
      </c>
      <c r="D100" s="5">
        <f t="shared" si="3"/>
        <v>-8.8278409083427967</v>
      </c>
    </row>
    <row r="101" spans="1:4">
      <c r="A101" s="2">
        <f>+'18O filtrado'!C72</f>
        <v>71</v>
      </c>
      <c r="B101" s="2" t="str">
        <f>+'18O filtrado'!D72</f>
        <v>Buenos Aires</v>
      </c>
      <c r="C101" s="2">
        <f>+'18O filtrado'!P72</f>
        <v>-4.423</v>
      </c>
      <c r="D101" s="5">
        <f t="shared" si="3"/>
        <v>-5.9884073371948352</v>
      </c>
    </row>
    <row r="102" spans="1:4">
      <c r="A102" s="2">
        <f>+'18O filtrado'!C73</f>
        <v>72</v>
      </c>
      <c r="B102" s="2" t="str">
        <f>+'18O filtrado'!D73</f>
        <v>Buenos Aires</v>
      </c>
      <c r="C102" s="2">
        <f>+'18O filtrado'!P73</f>
        <v>-4.5869999999999997</v>
      </c>
      <c r="D102" s="5">
        <f t="shared" si="3"/>
        <v>-6.143940772621777</v>
      </c>
    </row>
    <row r="103" spans="1:4">
      <c r="A103" s="2">
        <f>+'18O filtrado'!C74</f>
        <v>73</v>
      </c>
      <c r="B103" s="2" t="str">
        <f>+'18O filtrado'!D74</f>
        <v>A042</v>
      </c>
      <c r="C103" s="2">
        <f>+'18O filtrado'!P74</f>
        <v>-2.5449999999999999</v>
      </c>
      <c r="D103" s="5">
        <f t="shared" si="3"/>
        <v>-4.2073598266350913</v>
      </c>
    </row>
    <row r="104" spans="1:4">
      <c r="A104" s="2">
        <f>+'18O filtrado'!C75</f>
        <v>74</v>
      </c>
      <c r="B104" s="2" t="str">
        <f>+'18O filtrado'!D75</f>
        <v>A042</v>
      </c>
      <c r="C104" s="2">
        <f>+'18O filtrado'!P75</f>
        <v>-2.8380000000000001</v>
      </c>
      <c r="D104" s="5">
        <f t="shared" si="3"/>
        <v>-4.4852335862698114</v>
      </c>
    </row>
    <row r="105" spans="1:4">
      <c r="A105" s="2">
        <f>+'18O filtrado'!C76</f>
        <v>76</v>
      </c>
      <c r="B105" s="2" t="str">
        <f>+'18O filtrado'!D76</f>
        <v>A043</v>
      </c>
      <c r="C105" s="2">
        <f>+'18O filtrado'!P76</f>
        <v>0.19900000000000001</v>
      </c>
      <c r="D105" s="5">
        <f t="shared" si="3"/>
        <v>-1.6050199070525897</v>
      </c>
    </row>
    <row r="106" spans="1:4">
      <c r="A106" s="2">
        <f>+'18O filtrado'!C77</f>
        <v>77</v>
      </c>
      <c r="B106" s="2" t="str">
        <f>+'18O filtrado'!D77</f>
        <v>A044</v>
      </c>
      <c r="C106" s="2">
        <f>+'18O filtrado'!P77</f>
        <v>3.0579999999999998</v>
      </c>
      <c r="D106" s="5">
        <f t="shared" si="3"/>
        <v>1.1063830922500237</v>
      </c>
    </row>
    <row r="107" spans="1:4">
      <c r="A107" s="2">
        <f>+'18O filtrado'!C78</f>
        <v>78</v>
      </c>
      <c r="B107" s="2" t="str">
        <f>+'18O filtrado'!D78</f>
        <v>A044</v>
      </c>
      <c r="C107" s="2">
        <f>+'18O filtrado'!P78</f>
        <v>3.202</v>
      </c>
      <c r="D107" s="5">
        <f t="shared" si="3"/>
        <v>1.2429490355517294</v>
      </c>
    </row>
    <row r="108" spans="1:4">
      <c r="A108" s="2">
        <f>+'18O filtrado'!C79</f>
        <v>79</v>
      </c>
      <c r="B108" s="2" t="str">
        <f>+'18O filtrado'!D79</f>
        <v>A045</v>
      </c>
      <c r="C108" s="2">
        <f>+'18O filtrado'!P79</f>
        <v>-1.319</v>
      </c>
      <c r="D108" s="5">
        <f t="shared" si="3"/>
        <v>-3.0446525593580698</v>
      </c>
    </row>
    <row r="109" spans="1:4">
      <c r="A109" s="2">
        <f>+'18O filtrado'!C80</f>
        <v>80</v>
      </c>
      <c r="B109" s="2" t="str">
        <f>+'18O filtrado'!D80</f>
        <v>A045</v>
      </c>
      <c r="C109" s="2">
        <f>+'18O filtrado'!P80</f>
        <v>-0.76400000000000001</v>
      </c>
      <c r="D109" s="5">
        <f t="shared" si="3"/>
        <v>-2.5183046528827462</v>
      </c>
    </row>
    <row r="110" spans="1:4">
      <c r="A110" s="2">
        <f>+'18O filtrado'!C81</f>
        <v>81</v>
      </c>
      <c r="B110" s="2" t="str">
        <f>+'18O filtrado'!D81</f>
        <v>A046</v>
      </c>
      <c r="C110" s="2">
        <f>+'18O filtrado'!P81</f>
        <v>-2.7530000000000001</v>
      </c>
      <c r="D110" s="5">
        <f t="shared" si="3"/>
        <v>-4.4046217447375549</v>
      </c>
    </row>
    <row r="111" spans="1:4">
      <c r="A111" s="2">
        <f>+'18O filtrado'!C82</f>
        <v>82</v>
      </c>
      <c r="B111" s="2" t="str">
        <f>+'18O filtrado'!D82</f>
        <v>A046</v>
      </c>
      <c r="C111" s="2">
        <f>+'18O filtrado'!P82</f>
        <v>-3.2890000000000001</v>
      </c>
      <c r="D111" s="5">
        <f t="shared" si="3"/>
        <v>-4.9129505336939037</v>
      </c>
    </row>
    <row r="112" spans="1:4">
      <c r="A112" s="2">
        <f>+'18O filtrado'!C83</f>
        <v>83</v>
      </c>
      <c r="B112" s="2" t="str">
        <f>+'18O filtrado'!D83</f>
        <v>Buenos Aires</v>
      </c>
      <c r="C112" s="2">
        <f>+'18O filtrado'!P83</f>
        <v>-4.641</v>
      </c>
      <c r="D112" s="5">
        <f t="shared" si="3"/>
        <v>-6.195153001359917</v>
      </c>
    </row>
    <row r="113" spans="1:4">
      <c r="A113" s="2">
        <f>+'18O filtrado'!C84</f>
        <v>84</v>
      </c>
      <c r="B113" s="2" t="str">
        <f>+'18O filtrado'!D84</f>
        <v>Buenos Aires</v>
      </c>
      <c r="C113" s="2">
        <f>+'18O filtrado'!P84</f>
        <v>-4.5</v>
      </c>
      <c r="D113" s="5">
        <f t="shared" si="3"/>
        <v>-6.0614321818769969</v>
      </c>
    </row>
    <row r="114" spans="1:4">
      <c r="A114" s="2">
        <f>+'18O filtrado'!C85</f>
        <v>85</v>
      </c>
      <c r="B114" s="2" t="str">
        <f>+'18O filtrado'!D85</f>
        <v>A047</v>
      </c>
      <c r="C114" s="2">
        <f>+'18O filtrado'!P85</f>
        <v>-6.375</v>
      </c>
      <c r="D114" s="5">
        <f t="shared" si="3"/>
        <v>-7.8396345686179565</v>
      </c>
    </row>
    <row r="115" spans="1:4">
      <c r="A115" s="2">
        <f>+'18O filtrado'!C86</f>
        <v>86</v>
      </c>
      <c r="B115" s="2" t="str">
        <f>+'18O filtrado'!D86</f>
        <v>A047</v>
      </c>
      <c r="C115" s="2">
        <f>+'18O filtrado'!P86</f>
        <v>-5.6429999999999998</v>
      </c>
      <c r="D115" s="5">
        <f t="shared" si="3"/>
        <v>-7.145424356834285</v>
      </c>
    </row>
    <row r="116" spans="1:4">
      <c r="A116" s="2">
        <f>+'18O filtrado'!C87</f>
        <v>87</v>
      </c>
      <c r="B116" s="2" t="str">
        <f>+'18O filtrado'!D87</f>
        <v>A048</v>
      </c>
      <c r="C116" s="2">
        <f>+'18O filtrado'!P87</f>
        <v>-4.4370000000000003</v>
      </c>
      <c r="D116" s="5">
        <f t="shared" si="3"/>
        <v>-6.0016845816825013</v>
      </c>
    </row>
    <row r="117" spans="1:4">
      <c r="A117" s="2">
        <f>+'18O filtrado'!C88</f>
        <v>88</v>
      </c>
      <c r="B117" s="2" t="str">
        <f>+'18O filtrado'!D88</f>
        <v>A048</v>
      </c>
      <c r="C117" s="2">
        <f>+'18O filtrado'!P88</f>
        <v>-4.085</v>
      </c>
      <c r="D117" s="5">
        <f t="shared" si="3"/>
        <v>-5.6678567202783317</v>
      </c>
    </row>
    <row r="118" spans="1:4">
      <c r="A118" s="2">
        <f>+'18O filtrado'!C89</f>
        <v>89</v>
      </c>
      <c r="B118" s="2" t="str">
        <f>+'18O filtrado'!D89</f>
        <v>A049</v>
      </c>
      <c r="C118" s="2">
        <f>+'18O filtrado'!P89</f>
        <v>-11.15</v>
      </c>
      <c r="D118" s="5">
        <f t="shared" si="3"/>
        <v>-12.368123313518263</v>
      </c>
    </row>
    <row r="119" spans="1:4">
      <c r="A119" s="2">
        <f>+'18O filtrado'!C90</f>
        <v>90</v>
      </c>
      <c r="B119" s="2" t="str">
        <f>+'18O filtrado'!D90</f>
        <v>A049</v>
      </c>
      <c r="C119" s="2">
        <f>+'18O filtrado'!P90</f>
        <v>-10.73</v>
      </c>
      <c r="D119" s="5">
        <f t="shared" si="3"/>
        <v>-11.96980597888829</v>
      </c>
    </row>
    <row r="120" spans="1:4">
      <c r="A120" s="2">
        <f>+'18O filtrado'!C91</f>
        <v>91</v>
      </c>
      <c r="B120" s="2" t="str">
        <f>+'18O filtrado'!D91</f>
        <v>A050</v>
      </c>
      <c r="C120" s="2">
        <f>+'18O filtrado'!P91</f>
        <v>-10.010999999999999</v>
      </c>
      <c r="D120" s="5">
        <f t="shared" si="3"/>
        <v>-11.287924636986023</v>
      </c>
    </row>
    <row r="121" spans="1:4">
      <c r="A121" s="2">
        <f>+'18O filtrado'!C92</f>
        <v>92</v>
      </c>
      <c r="B121" s="2" t="str">
        <f>+'18O filtrado'!D92</f>
        <v>A050</v>
      </c>
      <c r="C121" s="2">
        <f>+'18O filtrado'!P92</f>
        <v>-10.375999999999999</v>
      </c>
      <c r="D121" s="5">
        <f t="shared" si="3"/>
        <v>-11.634081368271595</v>
      </c>
    </row>
    <row r="122" spans="1:4">
      <c r="A122" s="2">
        <f>+'18O filtrado'!C93</f>
        <v>93</v>
      </c>
      <c r="B122" s="2" t="str">
        <f>+'18O filtrado'!D93</f>
        <v>A051</v>
      </c>
      <c r="C122" s="2">
        <f>+'18O filtrado'!P93</f>
        <v>-6.7309999999999999</v>
      </c>
      <c r="D122" s="5">
        <f t="shared" si="3"/>
        <v>-8.1772559284471704</v>
      </c>
    </row>
    <row r="123" spans="1:4">
      <c r="A123" s="2">
        <f>+'18O filtrado'!C94</f>
        <v>94</v>
      </c>
      <c r="B123" s="2" t="str">
        <f>+'18O filtrado'!D94</f>
        <v>A051</v>
      </c>
      <c r="C123" s="2">
        <f>+'18O filtrado'!P94</f>
        <v>-6.3079999999999998</v>
      </c>
      <c r="D123" s="5">
        <f t="shared" si="3"/>
        <v>-7.776093469998413</v>
      </c>
    </row>
    <row r="124" spans="1:4">
      <c r="A124" s="2">
        <f>+'18O filtrado'!C95</f>
        <v>95</v>
      </c>
      <c r="B124" s="2" t="str">
        <f>+'18O filtrado'!D95</f>
        <v>Buenos Aires</v>
      </c>
      <c r="C124" s="2">
        <f>+'18O filtrado'!P95</f>
        <v>-4.6609999999999996</v>
      </c>
      <c r="D124" s="5">
        <f t="shared" si="3"/>
        <v>-6.2141204934851535</v>
      </c>
    </row>
    <row r="125" spans="1:4">
      <c r="A125" s="2">
        <f>+'18O filtrado'!C96</f>
        <v>96</v>
      </c>
      <c r="B125" s="2" t="str">
        <f>+'18O filtrado'!D96</f>
        <v>Buenos Aires</v>
      </c>
      <c r="C125" s="2">
        <f>+'18O filtrado'!P96</f>
        <v>-4.4059999999999997</v>
      </c>
      <c r="D125" s="5">
        <f t="shared" si="3"/>
        <v>-5.972284968888383</v>
      </c>
    </row>
    <row r="126" spans="1:4">
      <c r="A126" s="2">
        <f>+'18O filtrado'!C97</f>
        <v>97</v>
      </c>
      <c r="B126" s="2" t="str">
        <f>+'18O filtrado'!D97</f>
        <v>A052</v>
      </c>
      <c r="C126" s="2">
        <f>+'18O filtrado'!P97</f>
        <v>-4.8230000000000004</v>
      </c>
      <c r="D126" s="5">
        <f t="shared" si="3"/>
        <v>-6.3677571796995736</v>
      </c>
    </row>
    <row r="127" spans="1:4">
      <c r="A127" s="2">
        <f>+'18O filtrado'!C98</f>
        <v>98</v>
      </c>
      <c r="B127" s="2" t="str">
        <f>+'18O filtrado'!D98</f>
        <v>A052</v>
      </c>
      <c r="C127" s="2">
        <f>+'18O filtrado'!P98</f>
        <v>-4.8789999999999996</v>
      </c>
      <c r="D127" s="5">
        <f t="shared" si="3"/>
        <v>-6.4208661576502362</v>
      </c>
    </row>
    <row r="128" spans="1:4">
      <c r="A128" s="2">
        <f>+'18O filtrado'!C99</f>
        <v>99</v>
      </c>
      <c r="B128" s="2" t="str">
        <f>+'18O filtrado'!D99</f>
        <v>A053</v>
      </c>
      <c r="C128" s="2">
        <f>+'18O filtrado'!P99</f>
        <v>-4.1029999999999998</v>
      </c>
      <c r="D128" s="5">
        <f t="shared" si="3"/>
        <v>-5.6849274631910447</v>
      </c>
    </row>
    <row r="129" spans="1:4">
      <c r="A129" s="2">
        <f>+'18O filtrado'!C100</f>
        <v>100</v>
      </c>
      <c r="B129" s="2" t="str">
        <f>+'18O filtrado'!D100</f>
        <v>A053</v>
      </c>
      <c r="C129" s="2">
        <f>+'18O filtrado'!P100</f>
        <v>-4.2610000000000001</v>
      </c>
      <c r="D129" s="5">
        <f t="shared" si="3"/>
        <v>-5.834770650980416</v>
      </c>
    </row>
    <row r="130" spans="1:4">
      <c r="A130" s="2">
        <f>+'18O filtrado'!C101</f>
        <v>101</v>
      </c>
      <c r="B130" s="2" t="str">
        <f>+'18O filtrado'!D101</f>
        <v>A054</v>
      </c>
      <c r="C130" s="2">
        <f>+'18O filtrado'!P101</f>
        <v>-3.7109999999999999</v>
      </c>
      <c r="D130" s="5">
        <f t="shared" si="3"/>
        <v>-5.3131646175364011</v>
      </c>
    </row>
    <row r="131" spans="1:4">
      <c r="A131" s="2">
        <f>+'18O filtrado'!C102</f>
        <v>102</v>
      </c>
      <c r="B131" s="2" t="str">
        <f>+'18O filtrado'!D102</f>
        <v>A054</v>
      </c>
      <c r="C131" s="2">
        <f>+'18O filtrado'!P102</f>
        <v>-4.008</v>
      </c>
      <c r="D131" s="5">
        <f t="shared" si="3"/>
        <v>-5.5948318755961699</v>
      </c>
    </row>
    <row r="132" spans="1:4">
      <c r="A132" s="2">
        <f>+'18O filtrado'!C103</f>
        <v>103</v>
      </c>
      <c r="B132" s="2" t="str">
        <f>+'18O filtrado'!D103</f>
        <v>A055</v>
      </c>
      <c r="C132" s="2">
        <f>+'18O filtrado'!P103</f>
        <v>-2.9590000000000001</v>
      </c>
      <c r="D132" s="5">
        <f t="shared" si="3"/>
        <v>-4.5999869136274949</v>
      </c>
    </row>
    <row r="133" spans="1:4">
      <c r="A133" s="2">
        <f>+'18O filtrado'!C104</f>
        <v>104</v>
      </c>
      <c r="B133" s="2" t="str">
        <f>+'18O filtrado'!D104</f>
        <v>A055</v>
      </c>
      <c r="C133" s="2">
        <f>+'18O filtrado'!P104</f>
        <v>-2.8650000000000002</v>
      </c>
      <c r="D133" s="5">
        <f t="shared" si="3"/>
        <v>-4.5108397006388818</v>
      </c>
    </row>
    <row r="134" spans="1:4">
      <c r="A134" s="2">
        <f>+'18O filtrado'!C105</f>
        <v>105</v>
      </c>
      <c r="B134" s="2" t="str">
        <f>+'18O filtrado'!D105</f>
        <v>A056</v>
      </c>
      <c r="C134" s="2">
        <f>+'18O filtrado'!P105</f>
        <v>-2.0859999999999999</v>
      </c>
      <c r="D134" s="5">
        <f t="shared" si="3"/>
        <v>-3.7720558823609043</v>
      </c>
    </row>
    <row r="135" spans="1:4">
      <c r="A135" s="2">
        <f>+'18O filtrado'!C106</f>
        <v>106</v>
      </c>
      <c r="B135" s="2" t="str">
        <f>+'18O filtrado'!D106</f>
        <v>A056</v>
      </c>
      <c r="C135" s="2">
        <f>+'18O filtrado'!P106</f>
        <v>-2.1030000000000002</v>
      </c>
      <c r="D135" s="5">
        <f t="shared" si="3"/>
        <v>-3.788178250667356</v>
      </c>
    </row>
    <row r="136" spans="1:4">
      <c r="A136" s="2">
        <f>+'18O filtrado'!C107</f>
        <v>107</v>
      </c>
      <c r="B136" s="2" t="str">
        <f>+'18O filtrado'!D107</f>
        <v>Buenos Aires</v>
      </c>
      <c r="C136" s="2">
        <f>+'18O filtrado'!P107</f>
        <v>-4.431</v>
      </c>
      <c r="D136" s="5">
        <f t="shared" si="3"/>
        <v>-5.99599433404493</v>
      </c>
    </row>
    <row r="137" spans="1:4">
      <c r="A137" s="2">
        <f>+'18O filtrado'!C108</f>
        <v>108</v>
      </c>
      <c r="B137" s="2" t="str">
        <f>+'18O filtrado'!D108</f>
        <v>Buenos Aires</v>
      </c>
      <c r="C137" s="2">
        <f>+'18O filtrado'!P108</f>
        <v>-4.3899999999999997</v>
      </c>
      <c r="D137" s="5">
        <f t="shared" si="3"/>
        <v>-5.9571109751881943</v>
      </c>
    </row>
    <row r="138" spans="1:4">
      <c r="A138" s="2">
        <f>+'18O filtrado'!C109</f>
        <v>109</v>
      </c>
      <c r="B138" s="2" t="str">
        <f>+'18O filtrado'!D109</f>
        <v>A057</v>
      </c>
      <c r="C138" s="2">
        <f>+'18O filtrado'!P109</f>
        <v>-2.6360000000000001</v>
      </c>
      <c r="D138" s="5">
        <f t="shared" si="3"/>
        <v>-4.2936619158049192</v>
      </c>
    </row>
    <row r="139" spans="1:4">
      <c r="A139" s="2">
        <f>+'18O filtrado'!C110</f>
        <v>110</v>
      </c>
      <c r="B139" s="2" t="str">
        <f>+'18O filtrado'!D110</f>
        <v>A057</v>
      </c>
      <c r="C139" s="2">
        <f>+'18O filtrado'!P110</f>
        <v>-2.8260000000000001</v>
      </c>
      <c r="D139" s="5">
        <f t="shared" si="3"/>
        <v>-4.4738530909946688</v>
      </c>
    </row>
    <row r="140" spans="1:4">
      <c r="A140" s="2">
        <f>+'18O filtrado'!C111</f>
        <v>111</v>
      </c>
      <c r="B140" s="2" t="str">
        <f>+'18O filtrado'!D111</f>
        <v>A003</v>
      </c>
      <c r="C140" s="2">
        <f>+'18O filtrado'!P111</f>
        <v>-2.09</v>
      </c>
      <c r="D140" s="5">
        <f t="shared" si="3"/>
        <v>-3.7758493807859517</v>
      </c>
    </row>
    <row r="141" spans="1:4">
      <c r="A141" s="2">
        <f>+'18O filtrado'!C112</f>
        <v>112</v>
      </c>
      <c r="B141" s="2" t="str">
        <f>+'18O filtrado'!D112</f>
        <v>A003</v>
      </c>
      <c r="C141" s="2">
        <f>+'18O filtrado'!P112</f>
        <v>-1.8959999999999999</v>
      </c>
      <c r="D141" s="5">
        <f t="shared" si="3"/>
        <v>-3.5918647071711538</v>
      </c>
    </row>
    <row r="142" spans="1:4">
      <c r="A142" s="2">
        <f>+'18O filtrado'!C113</f>
        <v>114</v>
      </c>
      <c r="B142" s="2" t="str">
        <f>+'18O filtrado'!D113</f>
        <v>A016</v>
      </c>
      <c r="C142" s="2">
        <f>+'18O filtrado'!P113</f>
        <v>-0.53</v>
      </c>
      <c r="D142" s="5">
        <f t="shared" si="3"/>
        <v>-2.2963849950174744</v>
      </c>
    </row>
    <row r="143" spans="1:4">
      <c r="A143" s="2">
        <f>+'18O filtrado'!C114</f>
        <v>115</v>
      </c>
      <c r="B143" s="2" t="str">
        <f>+'18O filtrado'!D114</f>
        <v>Mar</v>
      </c>
      <c r="C143" s="2">
        <f>+'18O filtrado'!P114</f>
        <v>2.5230000000000001</v>
      </c>
      <c r="D143" s="5">
        <f t="shared" si="3"/>
        <v>0.59900267789993711</v>
      </c>
    </row>
    <row r="144" spans="1:4">
      <c r="A144" s="2">
        <f>+'18O filtrado'!C115</f>
        <v>116</v>
      </c>
      <c r="B144" s="2" t="str">
        <f>+'18O filtrado'!D115</f>
        <v>Mar</v>
      </c>
      <c r="C144" s="2">
        <f>+'18O filtrado'!P115</f>
        <v>2.383</v>
      </c>
      <c r="D144" s="5">
        <f t="shared" si="3"/>
        <v>0.46623023302327876</v>
      </c>
    </row>
    <row r="145" spans="1:4">
      <c r="A145" s="2">
        <f>+'18O filtrado'!C116</f>
        <v>117</v>
      </c>
      <c r="B145" s="2" t="str">
        <f>+'18O filtrado'!D116</f>
        <v>Mar</v>
      </c>
      <c r="C145" s="2">
        <f>+'18O filtrado'!P116</f>
        <v>2.419</v>
      </c>
      <c r="D145" s="5">
        <f t="shared" si="3"/>
        <v>0.50037171884870524</v>
      </c>
    </row>
    <row r="146" spans="1:4">
      <c r="A146" s="2">
        <f>+'18O filtrado'!C117</f>
        <v>118</v>
      </c>
      <c r="B146" s="2" t="str">
        <f>+'18O filtrado'!D117</f>
        <v>Buenos Aires</v>
      </c>
      <c r="C146" s="2">
        <f>+'18O filtrado'!P117</f>
        <v>-4.2539999999999996</v>
      </c>
      <c r="D146" s="5">
        <f t="shared" si="3"/>
        <v>-5.828132028736583</v>
      </c>
    </row>
    <row r="147" spans="1:4">
      <c r="A147" s="2">
        <f>+'18O filtrado'!C118</f>
        <v>119</v>
      </c>
      <c r="B147" s="2" t="str">
        <f>+'18O filtrado'!D118</f>
        <v>Buenos Aires</v>
      </c>
      <c r="C147" s="2">
        <f>+'18O filtrado'!P118</f>
        <v>-4.2560000000000002</v>
      </c>
      <c r="D147" s="5">
        <f t="shared" si="3"/>
        <v>-5.8300287779491073</v>
      </c>
    </row>
    <row r="148" spans="1:4">
      <c r="A148" s="2">
        <f>+'18O filtrado'!C119</f>
        <v>120</v>
      </c>
      <c r="B148" s="2" t="str">
        <f>+'18O filtrado'!D119</f>
        <v>Buenos Aires</v>
      </c>
      <c r="C148" s="2">
        <f>+'18O filtrado'!P119</f>
        <v>-4.38</v>
      </c>
      <c r="D148" s="5">
        <f t="shared" si="3"/>
        <v>-5.9476272291255761</v>
      </c>
    </row>
    <row r="149" spans="1:4">
      <c r="A149" s="2">
        <f>+'18O filtrado'!C120</f>
        <v>121</v>
      </c>
      <c r="B149" s="2" t="str">
        <f>+'18O filtrado'!D120</f>
        <v>Mendoza</v>
      </c>
      <c r="C149" s="2">
        <f>+'18O filtrado'!P120</f>
        <v>-9.9309999999999992</v>
      </c>
      <c r="D149" s="5">
        <f t="shared" si="3"/>
        <v>-11.212054668485074</v>
      </c>
    </row>
    <row r="150" spans="1:4">
      <c r="A150" s="2">
        <f>+'18O filtrado'!C121</f>
        <v>122</v>
      </c>
      <c r="B150" s="2" t="str">
        <f>+'18O filtrado'!D121</f>
        <v>Mendoza</v>
      </c>
      <c r="C150" s="2">
        <f>+'18O filtrado'!P121</f>
        <v>-10.24</v>
      </c>
      <c r="D150" s="5">
        <f t="shared" si="3"/>
        <v>-11.505102421819984</v>
      </c>
    </row>
    <row r="151" spans="1:4">
      <c r="A151" s="2">
        <f>+'18O filtrado'!C122</f>
        <v>123</v>
      </c>
      <c r="B151" s="2" t="str">
        <f>+'18O filtrado'!D122</f>
        <v>Mendoza</v>
      </c>
      <c r="C151" s="2">
        <f>+'18O filtrado'!P122</f>
        <v>-9.6869999999999994</v>
      </c>
      <c r="D151" s="5">
        <f t="shared" si="3"/>
        <v>-10.980651264557183</v>
      </c>
    </row>
    <row r="152" spans="1:4">
      <c r="A152" s="2">
        <f>+'18O filtrado'!C123</f>
        <v>124</v>
      </c>
      <c r="B152" s="2" t="str">
        <f>+'18O filtrado'!D123</f>
        <v>Antartida</v>
      </c>
      <c r="C152" s="2">
        <f>+'18O filtrado'!P123</f>
        <v>-11.224</v>
      </c>
      <c r="D152" s="5">
        <f t="shared" si="3"/>
        <v>-12.43830303438164</v>
      </c>
    </row>
    <row r="153" spans="1:4">
      <c r="A153" s="2">
        <f>+'18O filtrado'!C124</f>
        <v>125</v>
      </c>
      <c r="B153" s="2" t="str">
        <f>+'18O filtrado'!D124</f>
        <v>Antartida</v>
      </c>
      <c r="C153" s="2">
        <f>+'18O filtrado'!P124</f>
        <v>-11.452999999999999</v>
      </c>
      <c r="D153" s="5">
        <f t="shared" si="3"/>
        <v>-12.655480819215603</v>
      </c>
    </row>
    <row r="154" spans="1:4">
      <c r="A154" s="2">
        <f>+'18O filtrado'!C125</f>
        <v>126</v>
      </c>
      <c r="B154" s="2" t="str">
        <f>+'18O filtrado'!D125</f>
        <v>Antartida</v>
      </c>
      <c r="C154" s="2">
        <f>+'18O filtrado'!P125</f>
        <v>-11.340999999999999</v>
      </c>
      <c r="D154" s="5">
        <f t="shared" si="3"/>
        <v>-12.549262863314274</v>
      </c>
    </row>
    <row r="155" spans="1:4">
      <c r="A155" s="2">
        <f>+'18O filtrado'!C126</f>
        <v>0</v>
      </c>
      <c r="B155" s="2">
        <f>+'18O filtrado'!D126</f>
        <v>0</v>
      </c>
      <c r="C155" s="2">
        <f>+'18O filtrado'!P126</f>
        <v>0</v>
      </c>
      <c r="D155" s="5">
        <f t="shared" si="3"/>
        <v>-1.7937464536986967</v>
      </c>
    </row>
    <row r="156" spans="1:4">
      <c r="A156" s="2">
        <f>+'18O filtrado'!C127</f>
        <v>0</v>
      </c>
      <c r="B156" s="2">
        <f>+'18O filtrado'!D127</f>
        <v>0</v>
      </c>
      <c r="C156" s="2">
        <f>+'18O filtrado'!P127</f>
        <v>0</v>
      </c>
      <c r="D156" s="5">
        <f t="shared" si="3"/>
        <v>-1.7937464536986967</v>
      </c>
    </row>
    <row r="157" spans="1:4">
      <c r="A157" s="2">
        <f>+'18O filtrado'!C128</f>
        <v>0</v>
      </c>
      <c r="B157" s="2">
        <f>+'18O filtrado'!D128</f>
        <v>0</v>
      </c>
      <c r="C157" s="2">
        <f>+'18O filtrado'!P128</f>
        <v>0</v>
      </c>
      <c r="D157" s="5">
        <f t="shared" si="3"/>
        <v>-1.7937464536986967</v>
      </c>
    </row>
    <row r="158" spans="1:4">
      <c r="A158" s="2">
        <f>+'18O filtrado'!C129</f>
        <v>0</v>
      </c>
      <c r="B158" s="2">
        <f>+'18O filtrado'!D129</f>
        <v>0</v>
      </c>
      <c r="C158" s="2">
        <f>+'18O filtrado'!P129</f>
        <v>0</v>
      </c>
      <c r="D158" s="5">
        <f t="shared" si="3"/>
        <v>-1.7937464536986967</v>
      </c>
    </row>
    <row r="159" spans="1:4">
      <c r="A159" s="2">
        <f>+'18O filtrado'!C130</f>
        <v>0</v>
      </c>
      <c r="B159" s="2">
        <f>+'18O filtrado'!D130</f>
        <v>0</v>
      </c>
      <c r="C159" s="2">
        <f>+'18O filtrado'!P130</f>
        <v>0</v>
      </c>
      <c r="D159" s="5">
        <f t="shared" si="3"/>
        <v>-1.7937464536986967</v>
      </c>
    </row>
    <row r="160" spans="1:4">
      <c r="A160" s="2">
        <f>+'18O filtrado'!C131</f>
        <v>0</v>
      </c>
      <c r="B160" s="2">
        <f>+'18O filtrado'!D131</f>
        <v>0</v>
      </c>
      <c r="C160" s="2">
        <f>+'18O filtrado'!P131</f>
        <v>0</v>
      </c>
      <c r="D160" s="5">
        <f t="shared" ref="D160:D223" si="4">+(C160-$N$22)/$N$21</f>
        <v>-1.7937464536986967</v>
      </c>
    </row>
    <row r="161" spans="1:4">
      <c r="A161" s="2">
        <f>+'18O filtrado'!C132</f>
        <v>0</v>
      </c>
      <c r="B161" s="2">
        <f>+'18O filtrado'!D132</f>
        <v>0</v>
      </c>
      <c r="C161" s="2">
        <f>+'18O filtrado'!P132</f>
        <v>0</v>
      </c>
      <c r="D161" s="5">
        <f t="shared" si="4"/>
        <v>-1.7937464536986967</v>
      </c>
    </row>
    <row r="162" spans="1:4">
      <c r="A162" s="2">
        <f>+'18O filtrado'!C133</f>
        <v>0</v>
      </c>
      <c r="B162" s="2">
        <f>+'18O filtrado'!D133</f>
        <v>0</v>
      </c>
      <c r="C162" s="2">
        <f>+'18O filtrado'!P133</f>
        <v>0</v>
      </c>
      <c r="D162" s="5">
        <f t="shared" si="4"/>
        <v>-1.7937464536986967</v>
      </c>
    </row>
    <row r="163" spans="1:4">
      <c r="A163" s="2">
        <f>+'18O filtrado'!C134</f>
        <v>0</v>
      </c>
      <c r="B163" s="2">
        <f>+'18O filtrado'!D134</f>
        <v>0</v>
      </c>
      <c r="C163" s="2">
        <f>+'18O filtrado'!P134</f>
        <v>0</v>
      </c>
      <c r="D163" s="5">
        <f t="shared" si="4"/>
        <v>-1.7937464536986967</v>
      </c>
    </row>
    <row r="164" spans="1:4">
      <c r="A164" s="2">
        <f>+'18O filtrado'!C135</f>
        <v>0</v>
      </c>
      <c r="B164" s="2">
        <f>+'18O filtrado'!D135</f>
        <v>0</v>
      </c>
      <c r="C164" s="2">
        <f>+'18O filtrado'!P135</f>
        <v>0</v>
      </c>
      <c r="D164" s="5">
        <f t="shared" si="4"/>
        <v>-1.7937464536986967</v>
      </c>
    </row>
    <row r="165" spans="1:4">
      <c r="A165" s="2">
        <f>+'18O filtrado'!C136</f>
        <v>0</v>
      </c>
      <c r="B165" s="2">
        <f>+'18O filtrado'!D136</f>
        <v>0</v>
      </c>
      <c r="C165" s="2">
        <f>+'18O filtrado'!P136</f>
        <v>0</v>
      </c>
      <c r="D165" s="5">
        <f t="shared" si="4"/>
        <v>-1.7937464536986967</v>
      </c>
    </row>
    <row r="166" spans="1:4">
      <c r="A166" s="2">
        <f>+'18O filtrado'!C137</f>
        <v>0</v>
      </c>
      <c r="B166" s="2">
        <f>+'18O filtrado'!D137</f>
        <v>0</v>
      </c>
      <c r="C166" s="2">
        <f>+'18O filtrado'!P137</f>
        <v>0</v>
      </c>
      <c r="D166" s="5">
        <f t="shared" si="4"/>
        <v>-1.7937464536986967</v>
      </c>
    </row>
    <row r="167" spans="1:4">
      <c r="A167" s="2">
        <f>+'18O filtrado'!C138</f>
        <v>0</v>
      </c>
      <c r="B167" s="2">
        <f>+'18O filtrado'!D138</f>
        <v>0</v>
      </c>
      <c r="C167" s="2">
        <f>+'18O filtrado'!P138</f>
        <v>0</v>
      </c>
      <c r="D167" s="5">
        <f t="shared" si="4"/>
        <v>-1.7937464536986967</v>
      </c>
    </row>
    <row r="168" spans="1:4">
      <c r="A168" s="2">
        <f>+'18O filtrado'!C139</f>
        <v>0</v>
      </c>
      <c r="B168" s="2">
        <f>+'18O filtrado'!D139</f>
        <v>0</v>
      </c>
      <c r="C168" s="2">
        <f>+'18O filtrado'!P139</f>
        <v>0</v>
      </c>
      <c r="D168" s="5">
        <f t="shared" si="4"/>
        <v>-1.7937464536986967</v>
      </c>
    </row>
    <row r="169" spans="1:4">
      <c r="A169" s="2">
        <f>+'18O filtrado'!C140</f>
        <v>0</v>
      </c>
      <c r="B169" s="2">
        <f>+'18O filtrado'!D140</f>
        <v>0</v>
      </c>
      <c r="C169" s="2">
        <f>+'18O filtrado'!P140</f>
        <v>0</v>
      </c>
      <c r="D169" s="5">
        <f t="shared" si="4"/>
        <v>-1.7937464536986967</v>
      </c>
    </row>
    <row r="170" spans="1:4">
      <c r="A170" s="2">
        <f>+'18O filtrado'!C141</f>
        <v>0</v>
      </c>
      <c r="B170" s="2">
        <f>+'18O filtrado'!D141</f>
        <v>0</v>
      </c>
      <c r="C170" s="2">
        <f>+'18O filtrado'!P141</f>
        <v>0</v>
      </c>
      <c r="D170" s="5">
        <f t="shared" si="4"/>
        <v>-1.7937464536986967</v>
      </c>
    </row>
    <row r="171" spans="1:4">
      <c r="A171" s="2">
        <f>+'18O filtrado'!C142</f>
        <v>0</v>
      </c>
      <c r="B171" s="2">
        <f>+'18O filtrado'!D142</f>
        <v>0</v>
      </c>
      <c r="C171" s="2">
        <f>+'18O filtrado'!P142</f>
        <v>0</v>
      </c>
      <c r="D171" s="5">
        <f t="shared" si="4"/>
        <v>-1.7937464536986967</v>
      </c>
    </row>
    <row r="172" spans="1:4">
      <c r="A172" s="2">
        <f>+'18O filtrado'!C143</f>
        <v>0</v>
      </c>
      <c r="B172" s="2">
        <f>+'18O filtrado'!D143</f>
        <v>0</v>
      </c>
      <c r="C172" s="2">
        <f>+'18O filtrado'!P143</f>
        <v>0</v>
      </c>
      <c r="D172" s="5">
        <f t="shared" si="4"/>
        <v>-1.7937464536986967</v>
      </c>
    </row>
    <row r="173" spans="1:4">
      <c r="A173" s="2">
        <f>+'18O filtrado'!C144</f>
        <v>0</v>
      </c>
      <c r="B173" s="2">
        <f>+'18O filtrado'!D144</f>
        <v>0</v>
      </c>
      <c r="C173" s="2">
        <f>+'18O filtrado'!P144</f>
        <v>0</v>
      </c>
      <c r="D173" s="5">
        <f t="shared" si="4"/>
        <v>-1.7937464536986967</v>
      </c>
    </row>
    <row r="174" spans="1:4">
      <c r="A174" s="2">
        <f>+'18O filtrado'!C145</f>
        <v>0</v>
      </c>
      <c r="B174" s="2">
        <f>+'18O filtrado'!D145</f>
        <v>0</v>
      </c>
      <c r="C174" s="2">
        <f>+'18O filtrado'!P145</f>
        <v>0</v>
      </c>
      <c r="D174" s="5">
        <f t="shared" si="4"/>
        <v>-1.7937464536986967</v>
      </c>
    </row>
    <row r="175" spans="1:4">
      <c r="A175" s="2">
        <f>+'18O filtrado'!C146</f>
        <v>0</v>
      </c>
      <c r="B175" s="2">
        <f>+'18O filtrado'!D146</f>
        <v>0</v>
      </c>
      <c r="C175" s="2">
        <f>+'18O filtrado'!P146</f>
        <v>0</v>
      </c>
      <c r="D175" s="5">
        <f t="shared" si="4"/>
        <v>-1.7937464536986967</v>
      </c>
    </row>
    <row r="176" spans="1:4">
      <c r="A176" s="2">
        <f>+'18O filtrado'!C147</f>
        <v>0</v>
      </c>
      <c r="B176" s="2">
        <f>+'18O filtrado'!D147</f>
        <v>0</v>
      </c>
      <c r="C176" s="2">
        <f>+'18O filtrado'!P147</f>
        <v>0</v>
      </c>
      <c r="D176" s="5">
        <f t="shared" si="4"/>
        <v>-1.7937464536986967</v>
      </c>
    </row>
    <row r="177" spans="1:4">
      <c r="A177" s="2">
        <f>+'18O filtrado'!C148</f>
        <v>0</v>
      </c>
      <c r="B177" s="2">
        <f>+'18O filtrado'!D148</f>
        <v>0</v>
      </c>
      <c r="C177" s="2">
        <f>+'18O filtrado'!P148</f>
        <v>0</v>
      </c>
      <c r="D177" s="5">
        <f t="shared" si="4"/>
        <v>-1.7937464536986967</v>
      </c>
    </row>
    <row r="178" spans="1:4">
      <c r="A178" s="2">
        <f>+'18O filtrado'!C149</f>
        <v>0</v>
      </c>
      <c r="B178" s="2">
        <f>+'18O filtrado'!D149</f>
        <v>0</v>
      </c>
      <c r="C178" s="2">
        <f>+'18O filtrado'!P149</f>
        <v>0</v>
      </c>
      <c r="D178" s="5">
        <f t="shared" si="4"/>
        <v>-1.7937464536986967</v>
      </c>
    </row>
    <row r="179" spans="1:4">
      <c r="A179" s="2">
        <f>+'18O filtrado'!C150</f>
        <v>0</v>
      </c>
      <c r="B179" s="2">
        <f>+'18O filtrado'!D150</f>
        <v>0</v>
      </c>
      <c r="C179" s="2">
        <f>+'18O filtrado'!P150</f>
        <v>0</v>
      </c>
      <c r="D179" s="5">
        <f t="shared" si="4"/>
        <v>-1.7937464536986967</v>
      </c>
    </row>
    <row r="180" spans="1:4">
      <c r="A180" s="2">
        <f>+'18O filtrado'!C151</f>
        <v>0</v>
      </c>
      <c r="B180" s="2">
        <f>+'18O filtrado'!D151</f>
        <v>0</v>
      </c>
      <c r="C180" s="2">
        <f>+'18O filtrado'!P151</f>
        <v>0</v>
      </c>
      <c r="D180" s="5">
        <f t="shared" si="4"/>
        <v>-1.7937464536986967</v>
      </c>
    </row>
    <row r="181" spans="1:4">
      <c r="A181" s="2">
        <f>+'18O filtrado'!C152</f>
        <v>0</v>
      </c>
      <c r="B181" s="2">
        <f>+'18O filtrado'!D152</f>
        <v>0</v>
      </c>
      <c r="C181" s="2">
        <f>+'18O filtrado'!P152</f>
        <v>0</v>
      </c>
      <c r="D181" s="5">
        <f t="shared" si="4"/>
        <v>-1.7937464536986967</v>
      </c>
    </row>
    <row r="182" spans="1:4">
      <c r="A182" s="2">
        <f>+'18O filtrado'!C153</f>
        <v>0</v>
      </c>
      <c r="B182" s="2">
        <f>+'18O filtrado'!D153</f>
        <v>0</v>
      </c>
      <c r="C182" s="2">
        <f>+'18O filtrado'!P153</f>
        <v>0</v>
      </c>
      <c r="D182" s="5">
        <f t="shared" si="4"/>
        <v>-1.7937464536986967</v>
      </c>
    </row>
    <row r="183" spans="1:4">
      <c r="A183" s="2">
        <f>+'18O filtrado'!C154</f>
        <v>0</v>
      </c>
      <c r="B183" s="2">
        <f>+'18O filtrado'!D154</f>
        <v>0</v>
      </c>
      <c r="C183" s="2">
        <f>+'18O filtrado'!P154</f>
        <v>0</v>
      </c>
      <c r="D183" s="5">
        <f t="shared" si="4"/>
        <v>-1.7937464536986967</v>
      </c>
    </row>
    <row r="184" spans="1:4">
      <c r="A184" s="2">
        <f>+'18O filtrado'!C155</f>
        <v>0</v>
      </c>
      <c r="B184" s="2">
        <f>+'18O filtrado'!D155</f>
        <v>0</v>
      </c>
      <c r="C184" s="2">
        <f>+'18O filtrado'!P155</f>
        <v>0</v>
      </c>
      <c r="D184" s="5">
        <f t="shared" si="4"/>
        <v>-1.7937464536986967</v>
      </c>
    </row>
    <row r="185" spans="1:4">
      <c r="A185" s="2">
        <f>+'18O filtrado'!C156</f>
        <v>0</v>
      </c>
      <c r="B185" s="2">
        <f>+'18O filtrado'!D156</f>
        <v>0</v>
      </c>
      <c r="C185" s="2">
        <f>+'18O filtrado'!P156</f>
        <v>0</v>
      </c>
      <c r="D185" s="5">
        <f t="shared" si="4"/>
        <v>-1.7937464536986967</v>
      </c>
    </row>
    <row r="186" spans="1:4">
      <c r="A186" s="2">
        <f>+'18O filtrado'!C157</f>
        <v>0</v>
      </c>
      <c r="B186" s="2">
        <f>+'18O filtrado'!D157</f>
        <v>0</v>
      </c>
      <c r="C186" s="2">
        <f>+'18O filtrado'!P157</f>
        <v>0</v>
      </c>
      <c r="D186" s="5">
        <f t="shared" si="4"/>
        <v>-1.7937464536986967</v>
      </c>
    </row>
    <row r="187" spans="1:4">
      <c r="A187" s="2">
        <f>+'18O filtrado'!C158</f>
        <v>0</v>
      </c>
      <c r="B187" s="2">
        <f>+'18O filtrado'!D158</f>
        <v>0</v>
      </c>
      <c r="C187" s="2">
        <f>+'18O filtrado'!P158</f>
        <v>0</v>
      </c>
      <c r="D187" s="5">
        <f t="shared" si="4"/>
        <v>-1.7937464536986967</v>
      </c>
    </row>
    <row r="188" spans="1:4">
      <c r="A188" s="2">
        <f>+'18O filtrado'!C159</f>
        <v>0</v>
      </c>
      <c r="B188" s="2">
        <f>+'18O filtrado'!D159</f>
        <v>0</v>
      </c>
      <c r="C188" s="2">
        <f>+'18O filtrado'!P159</f>
        <v>0</v>
      </c>
      <c r="D188" s="5">
        <f t="shared" si="4"/>
        <v>-1.7937464536986967</v>
      </c>
    </row>
    <row r="189" spans="1:4">
      <c r="A189" s="2">
        <f>+'18O filtrado'!C160</f>
        <v>0</v>
      </c>
      <c r="B189" s="2">
        <f>+'18O filtrado'!D160</f>
        <v>0</v>
      </c>
      <c r="C189" s="2">
        <f>+'18O filtrado'!P160</f>
        <v>0</v>
      </c>
      <c r="D189" s="5">
        <f t="shared" si="4"/>
        <v>-1.7937464536986967</v>
      </c>
    </row>
    <row r="190" spans="1:4">
      <c r="A190" s="2">
        <f>+'18O filtrado'!C161</f>
        <v>0</v>
      </c>
      <c r="B190" s="2">
        <f>+'18O filtrado'!D161</f>
        <v>0</v>
      </c>
      <c r="C190" s="2">
        <f>+'18O filtrado'!P161</f>
        <v>0</v>
      </c>
      <c r="D190" s="5">
        <f t="shared" si="4"/>
        <v>-1.7937464536986967</v>
      </c>
    </row>
    <row r="191" spans="1:4">
      <c r="A191" s="2">
        <f>+'18O filtrado'!C162</f>
        <v>0</v>
      </c>
      <c r="B191" s="2">
        <f>+'18O filtrado'!D162</f>
        <v>0</v>
      </c>
      <c r="C191" s="2">
        <f>+'18O filtrado'!P162</f>
        <v>0</v>
      </c>
      <c r="D191" s="5">
        <f t="shared" si="4"/>
        <v>-1.7937464536986967</v>
      </c>
    </row>
    <row r="192" spans="1:4">
      <c r="A192" s="2">
        <f>+'18O filtrado'!C163</f>
        <v>0</v>
      </c>
      <c r="B192" s="2">
        <f>+'18O filtrado'!D163</f>
        <v>0</v>
      </c>
      <c r="C192" s="2">
        <f>+'18O filtrado'!P163</f>
        <v>0</v>
      </c>
      <c r="D192" s="5">
        <f t="shared" si="4"/>
        <v>-1.7937464536986967</v>
      </c>
    </row>
    <row r="193" spans="1:4">
      <c r="A193" s="2">
        <f>+'18O filtrado'!C164</f>
        <v>0</v>
      </c>
      <c r="B193" s="2">
        <f>+'18O filtrado'!D164</f>
        <v>0</v>
      </c>
      <c r="C193" s="2">
        <f>+'18O filtrado'!P164</f>
        <v>0</v>
      </c>
      <c r="D193" s="5">
        <f t="shared" si="4"/>
        <v>-1.7937464536986967</v>
      </c>
    </row>
    <row r="194" spans="1:4">
      <c r="A194" s="2">
        <f>+'18O filtrado'!C165</f>
        <v>0</v>
      </c>
      <c r="B194" s="2">
        <f>+'18O filtrado'!D165</f>
        <v>0</v>
      </c>
      <c r="C194" s="2">
        <f>+'18O filtrado'!P165</f>
        <v>0</v>
      </c>
      <c r="D194" s="5">
        <f t="shared" si="4"/>
        <v>-1.7937464536986967</v>
      </c>
    </row>
    <row r="195" spans="1:4">
      <c r="A195" s="2">
        <f>+'18O filtrado'!C166</f>
        <v>0</v>
      </c>
      <c r="B195" s="2">
        <f>+'18O filtrado'!D166</f>
        <v>0</v>
      </c>
      <c r="C195" s="2">
        <f>+'18O filtrado'!P166</f>
        <v>0</v>
      </c>
      <c r="D195" s="5">
        <f t="shared" si="4"/>
        <v>-1.7937464536986967</v>
      </c>
    </row>
    <row r="196" spans="1:4">
      <c r="A196" s="2">
        <f>+'18O filtrado'!C167</f>
        <v>0</v>
      </c>
      <c r="B196" s="2">
        <f>+'18O filtrado'!D167</f>
        <v>0</v>
      </c>
      <c r="C196" s="2">
        <f>+'18O filtrado'!P167</f>
        <v>0</v>
      </c>
      <c r="D196" s="5">
        <f t="shared" si="4"/>
        <v>-1.7937464536986967</v>
      </c>
    </row>
    <row r="197" spans="1:4">
      <c r="A197" s="2">
        <f>+'18O filtrado'!C168</f>
        <v>0</v>
      </c>
      <c r="B197" s="2">
        <f>+'18O filtrado'!D168</f>
        <v>0</v>
      </c>
      <c r="C197" s="2">
        <f>+'18O filtrado'!P168</f>
        <v>0</v>
      </c>
      <c r="D197" s="5">
        <f t="shared" si="4"/>
        <v>-1.7937464536986967</v>
      </c>
    </row>
    <row r="198" spans="1:4">
      <c r="A198" s="2">
        <f>+'18O filtrado'!C169</f>
        <v>0</v>
      </c>
      <c r="B198" s="2">
        <f>+'18O filtrado'!D169</f>
        <v>0</v>
      </c>
      <c r="C198" s="2">
        <f>+'18O filtrado'!P169</f>
        <v>0</v>
      </c>
      <c r="D198" s="5">
        <f t="shared" si="4"/>
        <v>-1.7937464536986967</v>
      </c>
    </row>
    <row r="199" spans="1:4">
      <c r="A199" s="2">
        <f>+'18O filtrado'!C170</f>
        <v>0</v>
      </c>
      <c r="B199" s="2">
        <f>+'18O filtrado'!D170</f>
        <v>0</v>
      </c>
      <c r="C199" s="2">
        <f>+'18O filtrado'!P170</f>
        <v>0</v>
      </c>
      <c r="D199" s="5">
        <f t="shared" si="4"/>
        <v>-1.7937464536986967</v>
      </c>
    </row>
    <row r="200" spans="1:4">
      <c r="A200" s="2">
        <f>+'18O filtrado'!C171</f>
        <v>0</v>
      </c>
      <c r="B200" s="2">
        <f>+'18O filtrado'!D171</f>
        <v>0</v>
      </c>
      <c r="C200" s="2">
        <f>+'18O filtrado'!P171</f>
        <v>0</v>
      </c>
      <c r="D200" s="5">
        <f t="shared" si="4"/>
        <v>-1.7937464536986967</v>
      </c>
    </row>
    <row r="201" spans="1:4">
      <c r="A201" s="2">
        <f>+'18O filtrado'!C172</f>
        <v>0</v>
      </c>
      <c r="B201" s="2">
        <f>+'18O filtrado'!D172</f>
        <v>0</v>
      </c>
      <c r="C201" s="2">
        <f>+'18O filtrado'!P172</f>
        <v>0</v>
      </c>
      <c r="D201" s="5">
        <f t="shared" si="4"/>
        <v>-1.7937464536986967</v>
      </c>
    </row>
    <row r="202" spans="1:4">
      <c r="A202" s="2">
        <f>+'18O filtrado'!C173</f>
        <v>0</v>
      </c>
      <c r="B202" s="2">
        <f>+'18O filtrado'!D173</f>
        <v>0</v>
      </c>
      <c r="C202" s="2">
        <f>+'18O filtrado'!P173</f>
        <v>0</v>
      </c>
      <c r="D202" s="5">
        <f t="shared" si="4"/>
        <v>-1.7937464536986967</v>
      </c>
    </row>
    <row r="203" spans="1:4">
      <c r="A203" s="2">
        <f>+'18O filtrado'!C174</f>
        <v>0</v>
      </c>
      <c r="B203" s="2">
        <f>+'18O filtrado'!D174</f>
        <v>0</v>
      </c>
      <c r="C203" s="2">
        <f>+'18O filtrado'!P174</f>
        <v>0</v>
      </c>
      <c r="D203" s="5">
        <f t="shared" si="4"/>
        <v>-1.7937464536986967</v>
      </c>
    </row>
    <row r="204" spans="1:4">
      <c r="A204" s="2">
        <f>+'18O filtrado'!C175</f>
        <v>0</v>
      </c>
      <c r="B204" s="2">
        <f>+'18O filtrado'!D175</f>
        <v>0</v>
      </c>
      <c r="C204" s="2">
        <f>+'18O filtrado'!P175</f>
        <v>0</v>
      </c>
      <c r="D204" s="5">
        <f t="shared" si="4"/>
        <v>-1.7937464536986967</v>
      </c>
    </row>
    <row r="205" spans="1:4">
      <c r="A205" s="2">
        <f>+'18O filtrado'!C176</f>
        <v>0</v>
      </c>
      <c r="B205" s="2">
        <f>+'18O filtrado'!D176</f>
        <v>0</v>
      </c>
      <c r="C205" s="2">
        <f>+'18O filtrado'!P176</f>
        <v>0</v>
      </c>
      <c r="D205" s="5">
        <f t="shared" si="4"/>
        <v>-1.7937464536986967</v>
      </c>
    </row>
    <row r="206" spans="1:4">
      <c r="A206" s="2">
        <f>+'18O filtrado'!C177</f>
        <v>0</v>
      </c>
      <c r="B206" s="2">
        <f>+'18O filtrado'!D177</f>
        <v>0</v>
      </c>
      <c r="C206" s="2">
        <f>+'18O filtrado'!P177</f>
        <v>0</v>
      </c>
      <c r="D206" s="5">
        <f t="shared" si="4"/>
        <v>-1.7937464536986967</v>
      </c>
    </row>
    <row r="207" spans="1:4">
      <c r="A207" s="2">
        <f>+'18O filtrado'!C178</f>
        <v>0</v>
      </c>
      <c r="B207" s="2">
        <f>+'18O filtrado'!D178</f>
        <v>0</v>
      </c>
      <c r="C207" s="2">
        <f>+'18O filtrado'!P178</f>
        <v>0</v>
      </c>
      <c r="D207" s="5">
        <f t="shared" si="4"/>
        <v>-1.7937464536986967</v>
      </c>
    </row>
    <row r="208" spans="1:4">
      <c r="A208" s="2">
        <f>+'18O filtrado'!C179</f>
        <v>0</v>
      </c>
      <c r="B208" s="2">
        <f>+'18O filtrado'!D179</f>
        <v>0</v>
      </c>
      <c r="C208" s="2">
        <f>+'18O filtrado'!P179</f>
        <v>0</v>
      </c>
      <c r="D208" s="5">
        <f t="shared" si="4"/>
        <v>-1.7937464536986967</v>
      </c>
    </row>
    <row r="209" spans="1:4">
      <c r="A209" s="2">
        <f>+'18O filtrado'!C180</f>
        <v>0</v>
      </c>
      <c r="B209" s="2">
        <f>+'18O filtrado'!D180</f>
        <v>0</v>
      </c>
      <c r="C209" s="2">
        <f>+'18O filtrado'!P180</f>
        <v>0</v>
      </c>
      <c r="D209" s="5">
        <f t="shared" si="4"/>
        <v>-1.7937464536986967</v>
      </c>
    </row>
    <row r="210" spans="1:4">
      <c r="A210" s="2">
        <f>+'18O filtrado'!C181</f>
        <v>0</v>
      </c>
      <c r="B210" s="2">
        <f>+'18O filtrado'!D181</f>
        <v>0</v>
      </c>
      <c r="C210" s="2">
        <f>+'18O filtrado'!P181</f>
        <v>0</v>
      </c>
      <c r="D210" s="5">
        <f t="shared" si="4"/>
        <v>-1.7937464536986967</v>
      </c>
    </row>
    <row r="211" spans="1:4">
      <c r="A211" s="2">
        <f>+'18O filtrado'!C182</f>
        <v>0</v>
      </c>
      <c r="B211" s="2">
        <f>+'18O filtrado'!D182</f>
        <v>0</v>
      </c>
      <c r="C211" s="2">
        <f>+'18O filtrado'!P182</f>
        <v>0</v>
      </c>
      <c r="D211" s="5">
        <f t="shared" si="4"/>
        <v>-1.7937464536986967</v>
      </c>
    </row>
    <row r="212" spans="1:4">
      <c r="A212" s="2">
        <f>+'18O filtrado'!C183</f>
        <v>0</v>
      </c>
      <c r="B212" s="2">
        <f>+'18O filtrado'!D183</f>
        <v>0</v>
      </c>
      <c r="C212" s="2">
        <f>+'18O filtrado'!P183</f>
        <v>0</v>
      </c>
      <c r="D212" s="5">
        <f t="shared" si="4"/>
        <v>-1.7937464536986967</v>
      </c>
    </row>
    <row r="213" spans="1:4">
      <c r="A213" s="2">
        <f>+'18O filtrado'!C184</f>
        <v>0</v>
      </c>
      <c r="B213" s="2">
        <f>+'18O filtrado'!D184</f>
        <v>0</v>
      </c>
      <c r="C213" s="2">
        <f>+'18O filtrado'!P184</f>
        <v>0</v>
      </c>
      <c r="D213" s="5">
        <f t="shared" si="4"/>
        <v>-1.7937464536986967</v>
      </c>
    </row>
    <row r="214" spans="1:4">
      <c r="A214" s="2">
        <f>+'18O filtrado'!C185</f>
        <v>0</v>
      </c>
      <c r="B214" s="2">
        <f>+'18O filtrado'!D185</f>
        <v>0</v>
      </c>
      <c r="C214" s="2">
        <f>+'18O filtrado'!P185</f>
        <v>0</v>
      </c>
      <c r="D214" s="5">
        <f t="shared" si="4"/>
        <v>-1.7937464536986967</v>
      </c>
    </row>
    <row r="215" spans="1:4">
      <c r="A215" s="2">
        <f>+'18O filtrado'!C186</f>
        <v>0</v>
      </c>
      <c r="B215" s="2">
        <f>+'18O filtrado'!D186</f>
        <v>0</v>
      </c>
      <c r="C215" s="2">
        <f>+'18O filtrado'!P186</f>
        <v>0</v>
      </c>
      <c r="D215" s="5">
        <f t="shared" si="4"/>
        <v>-1.7937464536986967</v>
      </c>
    </row>
    <row r="216" spans="1:4">
      <c r="A216" s="2">
        <f>+'18O filtrado'!C187</f>
        <v>0</v>
      </c>
      <c r="B216" s="2">
        <f>+'18O filtrado'!D187</f>
        <v>0</v>
      </c>
      <c r="C216" s="2">
        <f>+'18O filtrado'!P187</f>
        <v>0</v>
      </c>
      <c r="D216" s="5">
        <f t="shared" si="4"/>
        <v>-1.7937464536986967</v>
      </c>
    </row>
    <row r="217" spans="1:4">
      <c r="A217" s="2">
        <f>+'18O filtrado'!C188</f>
        <v>0</v>
      </c>
      <c r="B217" s="2">
        <f>+'18O filtrado'!D188</f>
        <v>0</v>
      </c>
      <c r="C217" s="2">
        <f>+'18O filtrado'!P188</f>
        <v>0</v>
      </c>
      <c r="D217" s="5">
        <f t="shared" si="4"/>
        <v>-1.7937464536986967</v>
      </c>
    </row>
    <row r="218" spans="1:4">
      <c r="A218" s="2">
        <f>+'18O filtrado'!C189</f>
        <v>0</v>
      </c>
      <c r="B218" s="2">
        <f>+'18O filtrado'!D189</f>
        <v>0</v>
      </c>
      <c r="C218" s="2">
        <f>+'18O filtrado'!P189</f>
        <v>0</v>
      </c>
      <c r="D218" s="5">
        <f t="shared" si="4"/>
        <v>-1.7937464536986967</v>
      </c>
    </row>
    <row r="219" spans="1:4">
      <c r="A219" s="2">
        <f>+'18O filtrado'!C190</f>
        <v>0</v>
      </c>
      <c r="B219" s="2">
        <f>+'18O filtrado'!D190</f>
        <v>0</v>
      </c>
      <c r="C219" s="2">
        <f>+'18O filtrado'!P190</f>
        <v>0</v>
      </c>
      <c r="D219" s="5">
        <f t="shared" si="4"/>
        <v>-1.7937464536986967</v>
      </c>
    </row>
    <row r="220" spans="1:4">
      <c r="A220" s="2">
        <f>+'18O filtrado'!C191</f>
        <v>0</v>
      </c>
      <c r="B220" s="2">
        <f>+'18O filtrado'!D191</f>
        <v>0</v>
      </c>
      <c r="C220" s="2">
        <f>+'18O filtrado'!P191</f>
        <v>0</v>
      </c>
      <c r="D220" s="5">
        <f t="shared" si="4"/>
        <v>-1.7937464536986967</v>
      </c>
    </row>
    <row r="221" spans="1:4">
      <c r="A221" s="2">
        <f>+'18O filtrado'!C192</f>
        <v>0</v>
      </c>
      <c r="B221" s="2">
        <f>+'18O filtrado'!D192</f>
        <v>0</v>
      </c>
      <c r="C221" s="2">
        <f>+'18O filtrado'!P192</f>
        <v>0</v>
      </c>
      <c r="D221" s="5">
        <f t="shared" si="4"/>
        <v>-1.7937464536986967</v>
      </c>
    </row>
    <row r="222" spans="1:4">
      <c r="A222" s="2">
        <f>+'18O filtrado'!C193</f>
        <v>0</v>
      </c>
      <c r="B222" s="2">
        <f>+'18O filtrado'!D193</f>
        <v>0</v>
      </c>
      <c r="C222" s="2">
        <f>+'18O filtrado'!P193</f>
        <v>0</v>
      </c>
      <c r="D222" s="5">
        <f t="shared" si="4"/>
        <v>-1.7937464536986967</v>
      </c>
    </row>
    <row r="223" spans="1:4">
      <c r="A223" s="2">
        <f>+'18O filtrado'!C194</f>
        <v>0</v>
      </c>
      <c r="B223" s="2">
        <f>+'18O filtrado'!D194</f>
        <v>0</v>
      </c>
      <c r="C223" s="2">
        <f>+'18O filtrado'!P194</f>
        <v>0</v>
      </c>
      <c r="D223" s="5">
        <f t="shared" si="4"/>
        <v>-1.7937464536986967</v>
      </c>
    </row>
    <row r="224" spans="1:4">
      <c r="A224" s="2">
        <f>+'18O filtrado'!C195</f>
        <v>0</v>
      </c>
      <c r="B224" s="2">
        <f>+'18O filtrado'!D195</f>
        <v>0</v>
      </c>
      <c r="C224" s="2">
        <f>+'18O filtrado'!P195</f>
        <v>0</v>
      </c>
      <c r="D224" s="5">
        <f t="shared" ref="D224:D287" si="5">+(C224-$N$22)/$N$21</f>
        <v>-1.7937464536986967</v>
      </c>
    </row>
    <row r="225" spans="1:4">
      <c r="A225" s="2">
        <f>+'18O filtrado'!C196</f>
        <v>0</v>
      </c>
      <c r="B225" s="2">
        <f>+'18O filtrado'!D196</f>
        <v>0</v>
      </c>
      <c r="C225" s="2">
        <f>+'18O filtrado'!P196</f>
        <v>0</v>
      </c>
      <c r="D225" s="5">
        <f t="shared" si="5"/>
        <v>-1.7937464536986967</v>
      </c>
    </row>
    <row r="226" spans="1:4">
      <c r="A226" s="2">
        <f>+'18O filtrado'!C197</f>
        <v>0</v>
      </c>
      <c r="B226" s="2">
        <f>+'18O filtrado'!D197</f>
        <v>0</v>
      </c>
      <c r="C226" s="2">
        <f>+'18O filtrado'!P197</f>
        <v>0</v>
      </c>
      <c r="D226" s="5">
        <f t="shared" si="5"/>
        <v>-1.7937464536986967</v>
      </c>
    </row>
    <row r="227" spans="1:4">
      <c r="A227" s="2">
        <f>+'18O filtrado'!C198</f>
        <v>0</v>
      </c>
      <c r="B227" s="2">
        <f>+'18O filtrado'!D198</f>
        <v>0</v>
      </c>
      <c r="C227" s="2">
        <f>+'18O filtrado'!P198</f>
        <v>0</v>
      </c>
      <c r="D227" s="5">
        <f t="shared" si="5"/>
        <v>-1.7937464536986967</v>
      </c>
    </row>
    <row r="228" spans="1:4">
      <c r="A228" s="2">
        <f>+'18O filtrado'!C199</f>
        <v>0</v>
      </c>
      <c r="B228" s="2">
        <f>+'18O filtrado'!D199</f>
        <v>0</v>
      </c>
      <c r="C228" s="2">
        <f>+'18O filtrado'!P199</f>
        <v>0</v>
      </c>
      <c r="D228" s="5">
        <f t="shared" si="5"/>
        <v>-1.7937464536986967</v>
      </c>
    </row>
    <row r="229" spans="1:4">
      <c r="A229" s="2">
        <f>+'18O filtrado'!C200</f>
        <v>0</v>
      </c>
      <c r="B229" s="2">
        <f>+'18O filtrado'!D200</f>
        <v>0</v>
      </c>
      <c r="C229" s="2">
        <f>+'18O filtrado'!P200</f>
        <v>0</v>
      </c>
      <c r="D229" s="5">
        <f t="shared" si="5"/>
        <v>-1.7937464536986967</v>
      </c>
    </row>
    <row r="230" spans="1:4">
      <c r="A230" s="2">
        <f>+'18O filtrado'!C201</f>
        <v>0</v>
      </c>
      <c r="B230" s="2">
        <f>+'18O filtrado'!D201</f>
        <v>0</v>
      </c>
      <c r="C230" s="2">
        <f>+'18O filtrado'!P201</f>
        <v>0</v>
      </c>
      <c r="D230" s="5">
        <f t="shared" si="5"/>
        <v>-1.7937464536986967</v>
      </c>
    </row>
    <row r="231" spans="1:4">
      <c r="A231" s="2">
        <f>+'18O filtrado'!C202</f>
        <v>0</v>
      </c>
      <c r="B231" s="2">
        <f>+'18O filtrado'!D202</f>
        <v>0</v>
      </c>
      <c r="C231" s="2">
        <f>+'18O filtrado'!P202</f>
        <v>0</v>
      </c>
      <c r="D231" s="5">
        <f t="shared" si="5"/>
        <v>-1.7937464536986967</v>
      </c>
    </row>
    <row r="232" spans="1:4">
      <c r="A232" s="2">
        <f>+'18O filtrado'!C203</f>
        <v>0</v>
      </c>
      <c r="B232" s="2">
        <f>+'18O filtrado'!D203</f>
        <v>0</v>
      </c>
      <c r="C232" s="2">
        <f>+'18O filtrado'!P203</f>
        <v>0</v>
      </c>
      <c r="D232" s="5">
        <f t="shared" si="5"/>
        <v>-1.7937464536986967</v>
      </c>
    </row>
    <row r="233" spans="1:4">
      <c r="A233" s="2">
        <f>+'18O filtrado'!C204</f>
        <v>0</v>
      </c>
      <c r="B233" s="2">
        <f>+'18O filtrado'!D204</f>
        <v>0</v>
      </c>
      <c r="C233" s="2">
        <f>+'18O filtrado'!P204</f>
        <v>0</v>
      </c>
      <c r="D233" s="5">
        <f t="shared" si="5"/>
        <v>-1.7937464536986967</v>
      </c>
    </row>
    <row r="234" spans="1:4">
      <c r="A234" s="2">
        <f>+'18O filtrado'!C205</f>
        <v>0</v>
      </c>
      <c r="B234" s="2">
        <f>+'18O filtrado'!D205</f>
        <v>0</v>
      </c>
      <c r="C234" s="2">
        <f>+'18O filtrado'!P205</f>
        <v>0</v>
      </c>
      <c r="D234" s="5">
        <f t="shared" si="5"/>
        <v>-1.7937464536986967</v>
      </c>
    </row>
    <row r="235" spans="1:4">
      <c r="A235" s="2">
        <f>+'18O filtrado'!C206</f>
        <v>0</v>
      </c>
      <c r="B235" s="2">
        <f>+'18O filtrado'!D206</f>
        <v>0</v>
      </c>
      <c r="C235" s="2">
        <f>+'18O filtrado'!P206</f>
        <v>0</v>
      </c>
      <c r="D235" s="5">
        <f t="shared" si="5"/>
        <v>-1.7937464536986967</v>
      </c>
    </row>
    <row r="236" spans="1:4">
      <c r="A236" s="2">
        <f>+'18O filtrado'!C207</f>
        <v>0</v>
      </c>
      <c r="B236" s="2">
        <f>+'18O filtrado'!D207</f>
        <v>0</v>
      </c>
      <c r="C236" s="2">
        <f>+'18O filtrado'!P207</f>
        <v>0</v>
      </c>
      <c r="D236" s="5">
        <f t="shared" si="5"/>
        <v>-1.7937464536986967</v>
      </c>
    </row>
    <row r="237" spans="1:4">
      <c r="A237" s="2">
        <f>+'18O filtrado'!C208</f>
        <v>0</v>
      </c>
      <c r="B237" s="2">
        <f>+'18O filtrado'!D208</f>
        <v>0</v>
      </c>
      <c r="C237" s="2">
        <f>+'18O filtrado'!P208</f>
        <v>0</v>
      </c>
      <c r="D237" s="5">
        <f t="shared" si="5"/>
        <v>-1.7937464536986967</v>
      </c>
    </row>
    <row r="238" spans="1:4">
      <c r="A238" s="2">
        <f>+'18O filtrado'!C209</f>
        <v>0</v>
      </c>
      <c r="B238" s="2">
        <f>+'18O filtrado'!D209</f>
        <v>0</v>
      </c>
      <c r="C238" s="2">
        <f>+'18O filtrado'!P209</f>
        <v>0</v>
      </c>
      <c r="D238" s="5">
        <f t="shared" si="5"/>
        <v>-1.7937464536986967</v>
      </c>
    </row>
    <row r="239" spans="1:4">
      <c r="A239" s="2">
        <f>+'18O filtrado'!C210</f>
        <v>0</v>
      </c>
      <c r="B239" s="2">
        <f>+'18O filtrado'!D210</f>
        <v>0</v>
      </c>
      <c r="C239" s="2">
        <f>+'18O filtrado'!P210</f>
        <v>0</v>
      </c>
      <c r="D239" s="5">
        <f t="shared" si="5"/>
        <v>-1.7937464536986967</v>
      </c>
    </row>
    <row r="240" spans="1:4">
      <c r="A240" s="2">
        <f>+'18O filtrado'!C211</f>
        <v>0</v>
      </c>
      <c r="B240" s="2">
        <f>+'18O filtrado'!D211</f>
        <v>0</v>
      </c>
      <c r="C240" s="2">
        <f>+'18O filtrado'!P211</f>
        <v>0</v>
      </c>
      <c r="D240" s="5">
        <f t="shared" si="5"/>
        <v>-1.7937464536986967</v>
      </c>
    </row>
    <row r="241" spans="1:4">
      <c r="A241" s="2">
        <f>+'18O filtrado'!C212</f>
        <v>0</v>
      </c>
      <c r="B241" s="2">
        <f>+'18O filtrado'!D212</f>
        <v>0</v>
      </c>
      <c r="C241" s="2">
        <f>+'18O filtrado'!P212</f>
        <v>0</v>
      </c>
      <c r="D241" s="5">
        <f t="shared" si="5"/>
        <v>-1.7937464536986967</v>
      </c>
    </row>
    <row r="242" spans="1:4">
      <c r="A242" s="2">
        <f>+'18O filtrado'!C213</f>
        <v>0</v>
      </c>
      <c r="B242" s="2">
        <f>+'18O filtrado'!D213</f>
        <v>0</v>
      </c>
      <c r="C242" s="2">
        <f>+'18O filtrado'!P213</f>
        <v>0</v>
      </c>
      <c r="D242" s="5">
        <f t="shared" si="5"/>
        <v>-1.7937464536986967</v>
      </c>
    </row>
    <row r="243" spans="1:4">
      <c r="A243" s="2">
        <f>+'18O filtrado'!C214</f>
        <v>0</v>
      </c>
      <c r="B243" s="2">
        <f>+'18O filtrado'!D214</f>
        <v>0</v>
      </c>
      <c r="C243" s="2">
        <f>+'18O filtrado'!P214</f>
        <v>0</v>
      </c>
      <c r="D243" s="5">
        <f t="shared" si="5"/>
        <v>-1.7937464536986967</v>
      </c>
    </row>
    <row r="244" spans="1:4">
      <c r="A244" s="2">
        <f>+'18O filtrado'!C215</f>
        <v>0</v>
      </c>
      <c r="B244" s="2">
        <f>+'18O filtrado'!D215</f>
        <v>0</v>
      </c>
      <c r="C244" s="2">
        <f>+'18O filtrado'!P215</f>
        <v>0</v>
      </c>
      <c r="D244" s="5">
        <f t="shared" si="5"/>
        <v>-1.7937464536986967</v>
      </c>
    </row>
    <row r="245" spans="1:4">
      <c r="A245" s="2">
        <f>+'18O filtrado'!C216</f>
        <v>0</v>
      </c>
      <c r="B245" s="2">
        <f>+'18O filtrado'!D216</f>
        <v>0</v>
      </c>
      <c r="C245" s="2">
        <f>+'18O filtrado'!P216</f>
        <v>0</v>
      </c>
      <c r="D245" s="5">
        <f t="shared" si="5"/>
        <v>-1.7937464536986967</v>
      </c>
    </row>
    <row r="246" spans="1:4">
      <c r="A246" s="2">
        <f>+'18O filtrado'!C217</f>
        <v>0</v>
      </c>
      <c r="B246" s="2">
        <f>+'18O filtrado'!D217</f>
        <v>0</v>
      </c>
      <c r="C246" s="2">
        <f>+'18O filtrado'!P217</f>
        <v>0</v>
      </c>
      <c r="D246" s="5">
        <f t="shared" si="5"/>
        <v>-1.7937464536986967</v>
      </c>
    </row>
    <row r="247" spans="1:4">
      <c r="A247" s="2">
        <f>+'18O filtrado'!C218</f>
        <v>0</v>
      </c>
      <c r="B247" s="2">
        <f>+'18O filtrado'!D218</f>
        <v>0</v>
      </c>
      <c r="C247" s="2">
        <f>+'18O filtrado'!P218</f>
        <v>0</v>
      </c>
      <c r="D247" s="5">
        <f t="shared" si="5"/>
        <v>-1.7937464536986967</v>
      </c>
    </row>
    <row r="248" spans="1:4">
      <c r="A248" s="2">
        <f>+'18O filtrado'!C219</f>
        <v>0</v>
      </c>
      <c r="B248" s="2">
        <f>+'18O filtrado'!D219</f>
        <v>0</v>
      </c>
      <c r="C248" s="2">
        <f>+'18O filtrado'!P219</f>
        <v>0</v>
      </c>
      <c r="D248" s="5">
        <f t="shared" si="5"/>
        <v>-1.7937464536986967</v>
      </c>
    </row>
    <row r="249" spans="1:4">
      <c r="A249" s="2">
        <f>+'18O filtrado'!C220</f>
        <v>0</v>
      </c>
      <c r="B249" s="2">
        <f>+'18O filtrado'!D220</f>
        <v>0</v>
      </c>
      <c r="C249" s="2">
        <f>+'18O filtrado'!P220</f>
        <v>0</v>
      </c>
      <c r="D249" s="5">
        <f t="shared" si="5"/>
        <v>-1.7937464536986967</v>
      </c>
    </row>
    <row r="250" spans="1:4">
      <c r="A250" s="2">
        <f>+'18O filtrado'!C221</f>
        <v>0</v>
      </c>
      <c r="B250" s="2">
        <f>+'18O filtrado'!D221</f>
        <v>0</v>
      </c>
      <c r="C250" s="2">
        <f>+'18O filtrado'!P221</f>
        <v>0</v>
      </c>
      <c r="D250" s="5">
        <f t="shared" si="5"/>
        <v>-1.7937464536986967</v>
      </c>
    </row>
    <row r="251" spans="1:4">
      <c r="A251" s="2">
        <f>+'18O filtrado'!C222</f>
        <v>0</v>
      </c>
      <c r="B251" s="2">
        <f>+'18O filtrado'!D222</f>
        <v>0</v>
      </c>
      <c r="C251" s="2">
        <f>+'18O filtrado'!P222</f>
        <v>0</v>
      </c>
      <c r="D251" s="5">
        <f t="shared" si="5"/>
        <v>-1.7937464536986967</v>
      </c>
    </row>
    <row r="252" spans="1:4">
      <c r="A252" s="2">
        <f>+'18O filtrado'!C223</f>
        <v>0</v>
      </c>
      <c r="B252" s="2">
        <f>+'18O filtrado'!D223</f>
        <v>0</v>
      </c>
      <c r="C252" s="2">
        <f>+'18O filtrado'!P223</f>
        <v>0</v>
      </c>
      <c r="D252" s="5">
        <f t="shared" si="5"/>
        <v>-1.7937464536986967</v>
      </c>
    </row>
    <row r="253" spans="1:4">
      <c r="A253" s="2">
        <f>+'18O filtrado'!C224</f>
        <v>0</v>
      </c>
      <c r="B253" s="2">
        <f>+'18O filtrado'!D224</f>
        <v>0</v>
      </c>
      <c r="C253" s="2">
        <f>+'18O filtrado'!P224</f>
        <v>0</v>
      </c>
      <c r="D253" s="5">
        <f t="shared" si="5"/>
        <v>-1.7937464536986967</v>
      </c>
    </row>
    <row r="254" spans="1:4">
      <c r="A254" s="2">
        <f>+'18O filtrado'!C225</f>
        <v>0</v>
      </c>
      <c r="B254" s="2">
        <f>+'18O filtrado'!D225</f>
        <v>0</v>
      </c>
      <c r="C254" s="2">
        <f>+'18O filtrado'!P225</f>
        <v>0</v>
      </c>
      <c r="D254" s="5">
        <f t="shared" si="5"/>
        <v>-1.7937464536986967</v>
      </c>
    </row>
    <row r="255" spans="1:4">
      <c r="A255" s="2">
        <f>+'18O filtrado'!C226</f>
        <v>0</v>
      </c>
      <c r="B255" s="2">
        <f>+'18O filtrado'!D226</f>
        <v>0</v>
      </c>
      <c r="C255" s="2">
        <f>+'18O filtrado'!P226</f>
        <v>0</v>
      </c>
      <c r="D255" s="5">
        <f t="shared" si="5"/>
        <v>-1.7937464536986967</v>
      </c>
    </row>
    <row r="256" spans="1:4">
      <c r="A256" s="2">
        <f>+'18O filtrado'!C227</f>
        <v>0</v>
      </c>
      <c r="B256" s="2">
        <f>+'18O filtrado'!D227</f>
        <v>0</v>
      </c>
      <c r="C256" s="2">
        <f>+'18O filtrado'!P227</f>
        <v>0</v>
      </c>
      <c r="D256" s="5">
        <f t="shared" si="5"/>
        <v>-1.7937464536986967</v>
      </c>
    </row>
    <row r="257" spans="1:4">
      <c r="A257" s="2">
        <f>+'18O filtrado'!C228</f>
        <v>0</v>
      </c>
      <c r="B257" s="2">
        <f>+'18O filtrado'!D228</f>
        <v>0</v>
      </c>
      <c r="C257" s="2">
        <f>+'18O filtrado'!P228</f>
        <v>0</v>
      </c>
      <c r="D257" s="5">
        <f t="shared" si="5"/>
        <v>-1.7937464536986967</v>
      </c>
    </row>
    <row r="258" spans="1:4">
      <c r="A258" s="2">
        <f>+'18O filtrado'!C229</f>
        <v>0</v>
      </c>
      <c r="B258" s="2">
        <f>+'18O filtrado'!D229</f>
        <v>0</v>
      </c>
      <c r="C258" s="2">
        <f>+'18O filtrado'!P229</f>
        <v>0</v>
      </c>
      <c r="D258" s="5">
        <f t="shared" si="5"/>
        <v>-1.7937464536986967</v>
      </c>
    </row>
    <row r="259" spans="1:4">
      <c r="A259" s="2">
        <f>+'18O filtrado'!C230</f>
        <v>0</v>
      </c>
      <c r="B259" s="2">
        <f>+'18O filtrado'!D230</f>
        <v>0</v>
      </c>
      <c r="C259" s="2">
        <f>+'18O filtrado'!P230</f>
        <v>0</v>
      </c>
      <c r="D259" s="5">
        <f t="shared" si="5"/>
        <v>-1.7937464536986967</v>
      </c>
    </row>
    <row r="260" spans="1:4">
      <c r="A260" s="2">
        <f>+'18O filtrado'!C231</f>
        <v>0</v>
      </c>
      <c r="B260" s="2">
        <f>+'18O filtrado'!D231</f>
        <v>0</v>
      </c>
      <c r="C260" s="2">
        <f>+'18O filtrado'!P231</f>
        <v>0</v>
      </c>
      <c r="D260" s="5">
        <f t="shared" si="5"/>
        <v>-1.7937464536986967</v>
      </c>
    </row>
    <row r="261" spans="1:4">
      <c r="A261" s="2">
        <f>+'18O filtrado'!C232</f>
        <v>0</v>
      </c>
      <c r="B261" s="2">
        <f>+'18O filtrado'!D232</f>
        <v>0</v>
      </c>
      <c r="C261" s="2">
        <f>+'18O filtrado'!P232</f>
        <v>0</v>
      </c>
      <c r="D261" s="5">
        <f t="shared" si="5"/>
        <v>-1.7937464536986967</v>
      </c>
    </row>
    <row r="262" spans="1:4">
      <c r="A262" s="2">
        <f>+'18O filtrado'!C233</f>
        <v>0</v>
      </c>
      <c r="B262" s="2">
        <f>+'18O filtrado'!D233</f>
        <v>0</v>
      </c>
      <c r="C262" s="2">
        <f>+'18O filtrado'!P233</f>
        <v>0</v>
      </c>
      <c r="D262" s="5">
        <f t="shared" si="5"/>
        <v>-1.7937464536986967</v>
      </c>
    </row>
    <row r="263" spans="1:4">
      <c r="A263" s="2">
        <f>+'18O filtrado'!C234</f>
        <v>0</v>
      </c>
      <c r="B263" s="2">
        <f>+'18O filtrado'!D234</f>
        <v>0</v>
      </c>
      <c r="C263" s="2">
        <f>+'18O filtrado'!P234</f>
        <v>0</v>
      </c>
      <c r="D263" s="5">
        <f t="shared" si="5"/>
        <v>-1.7937464536986967</v>
      </c>
    </row>
    <row r="264" spans="1:4">
      <c r="A264" s="2">
        <f>+'18O filtrado'!C235</f>
        <v>0</v>
      </c>
      <c r="B264" s="2">
        <f>+'18O filtrado'!D235</f>
        <v>0</v>
      </c>
      <c r="C264" s="2">
        <f>+'18O filtrado'!P235</f>
        <v>0</v>
      </c>
      <c r="D264" s="5">
        <f t="shared" si="5"/>
        <v>-1.7937464536986967</v>
      </c>
    </row>
    <row r="265" spans="1:4">
      <c r="A265" s="2">
        <f>+'18O filtrado'!C236</f>
        <v>0</v>
      </c>
      <c r="B265" s="2">
        <f>+'18O filtrado'!D236</f>
        <v>0</v>
      </c>
      <c r="C265" s="2">
        <f>+'18O filtrado'!P236</f>
        <v>0</v>
      </c>
      <c r="D265" s="5">
        <f t="shared" si="5"/>
        <v>-1.7937464536986967</v>
      </c>
    </row>
    <row r="266" spans="1:4">
      <c r="A266" s="2">
        <f>+'18O filtrado'!C237</f>
        <v>0</v>
      </c>
      <c r="B266" s="2">
        <f>+'18O filtrado'!D237</f>
        <v>0</v>
      </c>
      <c r="C266" s="2">
        <f>+'18O filtrado'!P237</f>
        <v>0</v>
      </c>
      <c r="D266" s="5">
        <f t="shared" si="5"/>
        <v>-1.7937464536986967</v>
      </c>
    </row>
    <row r="267" spans="1:4">
      <c r="A267" s="2">
        <f>+'18O filtrado'!C238</f>
        <v>0</v>
      </c>
      <c r="B267" s="2">
        <f>+'18O filtrado'!D238</f>
        <v>0</v>
      </c>
      <c r="C267" s="2">
        <f>+'18O filtrado'!P238</f>
        <v>0</v>
      </c>
      <c r="D267" s="5">
        <f t="shared" si="5"/>
        <v>-1.7937464536986967</v>
      </c>
    </row>
    <row r="268" spans="1:4">
      <c r="A268" s="2">
        <f>+'18O filtrado'!C239</f>
        <v>0</v>
      </c>
      <c r="B268" s="2">
        <f>+'18O filtrado'!D239</f>
        <v>0</v>
      </c>
      <c r="C268" s="2">
        <f>+'18O filtrado'!P239</f>
        <v>0</v>
      </c>
      <c r="D268" s="5">
        <f t="shared" si="5"/>
        <v>-1.7937464536986967</v>
      </c>
    </row>
    <row r="269" spans="1:4">
      <c r="A269" s="2">
        <f>+'18O filtrado'!C240</f>
        <v>0</v>
      </c>
      <c r="B269" s="2">
        <f>+'18O filtrado'!D240</f>
        <v>0</v>
      </c>
      <c r="C269" s="2">
        <f>+'18O filtrado'!P240</f>
        <v>0</v>
      </c>
      <c r="D269" s="5">
        <f t="shared" si="5"/>
        <v>-1.7937464536986967</v>
      </c>
    </row>
    <row r="270" spans="1:4">
      <c r="A270" s="2">
        <f>+'18O filtrado'!C241</f>
        <v>0</v>
      </c>
      <c r="B270" s="2">
        <f>+'18O filtrado'!D241</f>
        <v>0</v>
      </c>
      <c r="C270" s="2">
        <f>+'18O filtrado'!P241</f>
        <v>0</v>
      </c>
      <c r="D270" s="5">
        <f t="shared" si="5"/>
        <v>-1.7937464536986967</v>
      </c>
    </row>
    <row r="271" spans="1:4">
      <c r="A271" s="2">
        <f>+'18O filtrado'!C242</f>
        <v>0</v>
      </c>
      <c r="B271" s="2">
        <f>+'18O filtrado'!D242</f>
        <v>0</v>
      </c>
      <c r="C271" s="2">
        <f>+'18O filtrado'!P242</f>
        <v>0</v>
      </c>
      <c r="D271" s="5">
        <f t="shared" si="5"/>
        <v>-1.7937464536986967</v>
      </c>
    </row>
    <row r="272" spans="1:4">
      <c r="A272" s="2">
        <f>+'18O filtrado'!C243</f>
        <v>0</v>
      </c>
      <c r="B272" s="2">
        <f>+'18O filtrado'!D243</f>
        <v>0</v>
      </c>
      <c r="C272" s="2">
        <f>+'18O filtrado'!P243</f>
        <v>0</v>
      </c>
      <c r="D272" s="5">
        <f t="shared" si="5"/>
        <v>-1.7937464536986967</v>
      </c>
    </row>
    <row r="273" spans="1:4">
      <c r="A273" s="2">
        <f>+'18O filtrado'!C244</f>
        <v>0</v>
      </c>
      <c r="B273" s="2">
        <f>+'18O filtrado'!D244</f>
        <v>0</v>
      </c>
      <c r="C273" s="2">
        <f>+'18O filtrado'!P244</f>
        <v>0</v>
      </c>
      <c r="D273" s="5">
        <f t="shared" si="5"/>
        <v>-1.7937464536986967</v>
      </c>
    </row>
    <row r="274" spans="1:4">
      <c r="A274" s="2">
        <f>+'18O filtrado'!C245</f>
        <v>0</v>
      </c>
      <c r="B274" s="2">
        <f>+'18O filtrado'!D245</f>
        <v>0</v>
      </c>
      <c r="C274" s="2">
        <f>+'18O filtrado'!P245</f>
        <v>0</v>
      </c>
      <c r="D274" s="5">
        <f t="shared" si="5"/>
        <v>-1.7937464536986967</v>
      </c>
    </row>
    <row r="275" spans="1:4">
      <c r="A275" s="2">
        <f>+'18O filtrado'!C246</f>
        <v>0</v>
      </c>
      <c r="B275" s="2">
        <f>+'18O filtrado'!D246</f>
        <v>0</v>
      </c>
      <c r="C275" s="2">
        <f>+'18O filtrado'!P246</f>
        <v>0</v>
      </c>
      <c r="D275" s="5">
        <f t="shared" si="5"/>
        <v>-1.7937464536986967</v>
      </c>
    </row>
    <row r="276" spans="1:4">
      <c r="A276" s="2">
        <f>+'18O filtrado'!C247</f>
        <v>0</v>
      </c>
      <c r="B276" s="2">
        <f>+'18O filtrado'!D247</f>
        <v>0</v>
      </c>
      <c r="C276" s="2">
        <f>+'18O filtrado'!P247</f>
        <v>0</v>
      </c>
      <c r="D276" s="5">
        <f t="shared" si="5"/>
        <v>-1.7937464536986967</v>
      </c>
    </row>
    <row r="277" spans="1:4">
      <c r="A277" s="2">
        <f>+'18O filtrado'!C248</f>
        <v>0</v>
      </c>
      <c r="B277" s="2">
        <f>+'18O filtrado'!D248</f>
        <v>0</v>
      </c>
      <c r="C277" s="2">
        <f>+'18O filtrado'!P248</f>
        <v>0</v>
      </c>
      <c r="D277" s="5">
        <f t="shared" si="5"/>
        <v>-1.7937464536986967</v>
      </c>
    </row>
    <row r="278" spans="1:4">
      <c r="A278" s="2">
        <f>+'18O filtrado'!C249</f>
        <v>0</v>
      </c>
      <c r="B278" s="2">
        <f>+'18O filtrado'!D249</f>
        <v>0</v>
      </c>
      <c r="C278" s="2">
        <f>+'18O filtrado'!P249</f>
        <v>0</v>
      </c>
      <c r="D278" s="5">
        <f t="shared" si="5"/>
        <v>-1.7937464536986967</v>
      </c>
    </row>
    <row r="279" spans="1:4">
      <c r="A279" s="2">
        <f>+'18O filtrado'!C250</f>
        <v>0</v>
      </c>
      <c r="B279" s="2">
        <f>+'18O filtrado'!D250</f>
        <v>0</v>
      </c>
      <c r="C279" s="2">
        <f>+'18O filtrado'!P250</f>
        <v>0</v>
      </c>
      <c r="D279" s="5">
        <f t="shared" si="5"/>
        <v>-1.7937464536986967</v>
      </c>
    </row>
    <row r="280" spans="1:4">
      <c r="A280" s="2">
        <f>+'18O filtrado'!C251</f>
        <v>0</v>
      </c>
      <c r="B280" s="2">
        <f>+'18O filtrado'!D251</f>
        <v>0</v>
      </c>
      <c r="C280" s="2">
        <f>+'18O filtrado'!P251</f>
        <v>0</v>
      </c>
      <c r="D280" s="5">
        <f t="shared" si="5"/>
        <v>-1.7937464536986967</v>
      </c>
    </row>
    <row r="281" spans="1:4">
      <c r="A281" s="2">
        <f>+'18O filtrado'!C252</f>
        <v>0</v>
      </c>
      <c r="B281" s="2">
        <f>+'18O filtrado'!D252</f>
        <v>0</v>
      </c>
      <c r="C281" s="2">
        <f>+'18O filtrado'!P252</f>
        <v>0</v>
      </c>
      <c r="D281" s="5">
        <f t="shared" si="5"/>
        <v>-1.7937464536986967</v>
      </c>
    </row>
    <row r="282" spans="1:4">
      <c r="A282" s="2">
        <f>+'18O filtrado'!C253</f>
        <v>0</v>
      </c>
      <c r="B282" s="2">
        <f>+'18O filtrado'!D253</f>
        <v>0</v>
      </c>
      <c r="C282" s="2">
        <f>+'18O filtrado'!P253</f>
        <v>0</v>
      </c>
      <c r="D282" s="5">
        <f t="shared" si="5"/>
        <v>-1.7937464536986967</v>
      </c>
    </row>
    <row r="283" spans="1:4">
      <c r="A283" s="2">
        <f>+'18O filtrado'!C254</f>
        <v>0</v>
      </c>
      <c r="B283" s="2">
        <f>+'18O filtrado'!D254</f>
        <v>0</v>
      </c>
      <c r="C283" s="2">
        <f>+'18O filtrado'!P254</f>
        <v>0</v>
      </c>
      <c r="D283" s="5">
        <f t="shared" si="5"/>
        <v>-1.7937464536986967</v>
      </c>
    </row>
    <row r="284" spans="1:4">
      <c r="A284" s="2">
        <f>+'18O filtrado'!C255</f>
        <v>0</v>
      </c>
      <c r="B284" s="2">
        <f>+'18O filtrado'!D255</f>
        <v>0</v>
      </c>
      <c r="C284" s="2">
        <f>+'18O filtrado'!P255</f>
        <v>0</v>
      </c>
      <c r="D284" s="5">
        <f t="shared" si="5"/>
        <v>-1.7937464536986967</v>
      </c>
    </row>
    <row r="285" spans="1:4">
      <c r="A285" s="2">
        <f>+'18O filtrado'!C256</f>
        <v>0</v>
      </c>
      <c r="B285" s="2">
        <f>+'18O filtrado'!D256</f>
        <v>0</v>
      </c>
      <c r="C285" s="2">
        <f>+'18O filtrado'!P256</f>
        <v>0</v>
      </c>
      <c r="D285" s="5">
        <f t="shared" si="5"/>
        <v>-1.7937464536986967</v>
      </c>
    </row>
    <row r="286" spans="1:4">
      <c r="A286" s="2">
        <f>+'18O filtrado'!C257</f>
        <v>0</v>
      </c>
      <c r="B286" s="2">
        <f>+'18O filtrado'!D257</f>
        <v>0</v>
      </c>
      <c r="C286" s="2">
        <f>+'18O filtrado'!P257</f>
        <v>0</v>
      </c>
      <c r="D286" s="5">
        <f t="shared" si="5"/>
        <v>-1.7937464536986967</v>
      </c>
    </row>
    <row r="287" spans="1:4">
      <c r="A287" s="2">
        <f>+'18O filtrado'!C258</f>
        <v>0</v>
      </c>
      <c r="B287" s="2">
        <f>+'18O filtrado'!D258</f>
        <v>0</v>
      </c>
      <c r="C287" s="2">
        <f>+'18O filtrado'!P258</f>
        <v>0</v>
      </c>
      <c r="D287" s="5">
        <f t="shared" si="5"/>
        <v>-1.7937464536986967</v>
      </c>
    </row>
    <row r="288" spans="1:4">
      <c r="A288" s="2">
        <f>+'18O filtrado'!C259</f>
        <v>0</v>
      </c>
      <c r="B288" s="2">
        <f>+'18O filtrado'!D259</f>
        <v>0</v>
      </c>
      <c r="C288" s="2">
        <f>+'18O filtrado'!P259</f>
        <v>0</v>
      </c>
      <c r="D288" s="5">
        <f t="shared" ref="D288:D351" si="6">+(C288-$N$22)/$N$21</f>
        <v>-1.7937464536986967</v>
      </c>
    </row>
    <row r="289" spans="1:4">
      <c r="A289" s="2">
        <f>+'18O filtrado'!C260</f>
        <v>0</v>
      </c>
      <c r="B289" s="2">
        <f>+'18O filtrado'!D260</f>
        <v>0</v>
      </c>
      <c r="C289" s="2">
        <f>+'18O filtrado'!P260</f>
        <v>0</v>
      </c>
      <c r="D289" s="5">
        <f t="shared" si="6"/>
        <v>-1.7937464536986967</v>
      </c>
    </row>
    <row r="290" spans="1:4">
      <c r="A290" s="2">
        <f>+'18O filtrado'!C261</f>
        <v>0</v>
      </c>
      <c r="B290" s="2">
        <f>+'18O filtrado'!D261</f>
        <v>0</v>
      </c>
      <c r="C290" s="2">
        <f>+'18O filtrado'!P261</f>
        <v>0</v>
      </c>
      <c r="D290" s="5">
        <f t="shared" si="6"/>
        <v>-1.7937464536986967</v>
      </c>
    </row>
    <row r="291" spans="1:4">
      <c r="A291" s="2">
        <f>+'18O filtrado'!C262</f>
        <v>0</v>
      </c>
      <c r="B291" s="2">
        <f>+'18O filtrado'!D262</f>
        <v>0</v>
      </c>
      <c r="C291" s="2">
        <f>+'18O filtrado'!P262</f>
        <v>0</v>
      </c>
      <c r="D291" s="5">
        <f t="shared" si="6"/>
        <v>-1.7937464536986967</v>
      </c>
    </row>
    <row r="292" spans="1:4">
      <c r="A292" s="2">
        <f>+'18O filtrado'!C263</f>
        <v>0</v>
      </c>
      <c r="B292" s="2">
        <f>+'18O filtrado'!D263</f>
        <v>0</v>
      </c>
      <c r="C292" s="2">
        <f>+'18O filtrado'!P263</f>
        <v>0</v>
      </c>
      <c r="D292" s="5">
        <f t="shared" si="6"/>
        <v>-1.7937464536986967</v>
      </c>
    </row>
    <row r="293" spans="1:4">
      <c r="A293" s="2">
        <f>+'18O filtrado'!C264</f>
        <v>0</v>
      </c>
      <c r="B293" s="2">
        <f>+'18O filtrado'!D264</f>
        <v>0</v>
      </c>
      <c r="C293" s="2">
        <f>+'18O filtrado'!P264</f>
        <v>0</v>
      </c>
      <c r="D293" s="5">
        <f t="shared" si="6"/>
        <v>-1.7937464536986967</v>
      </c>
    </row>
    <row r="294" spans="1:4">
      <c r="A294" s="2">
        <f>+'18O filtrado'!C265</f>
        <v>0</v>
      </c>
      <c r="B294" s="2">
        <f>+'18O filtrado'!D265</f>
        <v>0</v>
      </c>
      <c r="C294" s="2">
        <f>+'18O filtrado'!P265</f>
        <v>0</v>
      </c>
      <c r="D294" s="5">
        <f t="shared" si="6"/>
        <v>-1.7937464536986967</v>
      </c>
    </row>
    <row r="295" spans="1:4">
      <c r="A295" s="2">
        <f>+'18O filtrado'!C266</f>
        <v>0</v>
      </c>
      <c r="B295" s="2">
        <f>+'18O filtrado'!D266</f>
        <v>0</v>
      </c>
      <c r="C295" s="2">
        <f>+'18O filtrado'!P266</f>
        <v>0</v>
      </c>
      <c r="D295" s="5">
        <f t="shared" si="6"/>
        <v>-1.7937464536986967</v>
      </c>
    </row>
    <row r="296" spans="1:4">
      <c r="A296" s="2">
        <f>+'18O filtrado'!C267</f>
        <v>0</v>
      </c>
      <c r="B296" s="2">
        <f>+'18O filtrado'!D267</f>
        <v>0</v>
      </c>
      <c r="C296" s="2">
        <f>+'18O filtrado'!P267</f>
        <v>0</v>
      </c>
      <c r="D296" s="5">
        <f t="shared" si="6"/>
        <v>-1.7937464536986967</v>
      </c>
    </row>
    <row r="297" spans="1:4">
      <c r="A297" s="2">
        <f>+'18O filtrado'!C268</f>
        <v>0</v>
      </c>
      <c r="B297" s="2">
        <f>+'18O filtrado'!D268</f>
        <v>0</v>
      </c>
      <c r="C297" s="2">
        <f>+'18O filtrado'!P268</f>
        <v>0</v>
      </c>
      <c r="D297" s="5">
        <f t="shared" si="6"/>
        <v>-1.7937464536986967</v>
      </c>
    </row>
    <row r="298" spans="1:4">
      <c r="A298" s="2">
        <f>+'18O filtrado'!C269</f>
        <v>0</v>
      </c>
      <c r="B298" s="2">
        <f>+'18O filtrado'!D269</f>
        <v>0</v>
      </c>
      <c r="C298" s="2">
        <f>+'18O filtrado'!P269</f>
        <v>0</v>
      </c>
      <c r="D298" s="5">
        <f t="shared" si="6"/>
        <v>-1.7937464536986967</v>
      </c>
    </row>
    <row r="299" spans="1:4">
      <c r="A299" s="2">
        <f>+'18O filtrado'!C270</f>
        <v>0</v>
      </c>
      <c r="B299" s="2">
        <f>+'18O filtrado'!D270</f>
        <v>0</v>
      </c>
      <c r="C299" s="2">
        <f>+'18O filtrado'!P270</f>
        <v>0</v>
      </c>
      <c r="D299" s="5">
        <f t="shared" si="6"/>
        <v>-1.7937464536986967</v>
      </c>
    </row>
    <row r="300" spans="1:4">
      <c r="A300" s="2">
        <f>+'18O filtrado'!C271</f>
        <v>0</v>
      </c>
      <c r="B300" s="2">
        <f>+'18O filtrado'!D271</f>
        <v>0</v>
      </c>
      <c r="C300" s="2">
        <f>+'18O filtrado'!P271</f>
        <v>0</v>
      </c>
      <c r="D300" s="5">
        <f t="shared" si="6"/>
        <v>-1.7937464536986967</v>
      </c>
    </row>
    <row r="301" spans="1:4">
      <c r="A301" s="2">
        <f>+'18O filtrado'!C272</f>
        <v>0</v>
      </c>
      <c r="B301" s="2">
        <f>+'18O filtrado'!D272</f>
        <v>0</v>
      </c>
      <c r="C301" s="2">
        <f>+'18O filtrado'!P272</f>
        <v>0</v>
      </c>
      <c r="D301" s="5">
        <f t="shared" si="6"/>
        <v>-1.7937464536986967</v>
      </c>
    </row>
    <row r="302" spans="1:4">
      <c r="A302" s="2">
        <f>+'18O filtrado'!C273</f>
        <v>0</v>
      </c>
      <c r="B302" s="2">
        <f>+'18O filtrado'!D273</f>
        <v>0</v>
      </c>
      <c r="C302" s="2">
        <f>+'18O filtrado'!P273</f>
        <v>0</v>
      </c>
      <c r="D302" s="5">
        <f t="shared" si="6"/>
        <v>-1.7937464536986967</v>
      </c>
    </row>
    <row r="303" spans="1:4">
      <c r="A303" s="2">
        <f>+'18O filtrado'!C274</f>
        <v>0</v>
      </c>
      <c r="B303" s="2">
        <f>+'18O filtrado'!D274</f>
        <v>0</v>
      </c>
      <c r="C303" s="2">
        <f>+'18O filtrado'!P274</f>
        <v>0</v>
      </c>
      <c r="D303" s="5">
        <f t="shared" si="6"/>
        <v>-1.7937464536986967</v>
      </c>
    </row>
    <row r="304" spans="1:4">
      <c r="A304" s="2">
        <f>+'18O filtrado'!C275</f>
        <v>0</v>
      </c>
      <c r="B304" s="2">
        <f>+'18O filtrado'!D275</f>
        <v>0</v>
      </c>
      <c r="C304" s="2">
        <f>+'18O filtrado'!P275</f>
        <v>0</v>
      </c>
      <c r="D304" s="5">
        <f t="shared" si="6"/>
        <v>-1.7937464536986967</v>
      </c>
    </row>
    <row r="305" spans="1:4">
      <c r="A305" s="2">
        <f>+'18O filtrado'!C276</f>
        <v>0</v>
      </c>
      <c r="B305" s="2">
        <f>+'18O filtrado'!D276</f>
        <v>0</v>
      </c>
      <c r="C305" s="2">
        <f>+'18O filtrado'!P276</f>
        <v>0</v>
      </c>
      <c r="D305" s="5">
        <f t="shared" si="6"/>
        <v>-1.7937464536986967</v>
      </c>
    </row>
    <row r="306" spans="1:4">
      <c r="A306" s="2">
        <f>+'18O filtrado'!C277</f>
        <v>0</v>
      </c>
      <c r="B306" s="2">
        <f>+'18O filtrado'!D277</f>
        <v>0</v>
      </c>
      <c r="C306" s="2">
        <f>+'18O filtrado'!P277</f>
        <v>0</v>
      </c>
      <c r="D306" s="5">
        <f t="shared" si="6"/>
        <v>-1.7937464536986967</v>
      </c>
    </row>
    <row r="307" spans="1:4">
      <c r="A307" s="2">
        <f>+'18O filtrado'!C278</f>
        <v>0</v>
      </c>
      <c r="B307" s="2">
        <f>+'18O filtrado'!D278</f>
        <v>0</v>
      </c>
      <c r="C307" s="2">
        <f>+'18O filtrado'!P278</f>
        <v>0</v>
      </c>
      <c r="D307" s="5">
        <f t="shared" si="6"/>
        <v>-1.7937464536986967</v>
      </c>
    </row>
    <row r="308" spans="1:4">
      <c r="A308" s="2">
        <f>+'18O filtrado'!C279</f>
        <v>0</v>
      </c>
      <c r="B308" s="2">
        <f>+'18O filtrado'!D279</f>
        <v>0</v>
      </c>
      <c r="C308" s="2">
        <f>+'18O filtrado'!P279</f>
        <v>0</v>
      </c>
      <c r="D308" s="5">
        <f t="shared" si="6"/>
        <v>-1.7937464536986967</v>
      </c>
    </row>
    <row r="309" spans="1:4">
      <c r="A309" s="2">
        <f>+'18O filtrado'!C280</f>
        <v>0</v>
      </c>
      <c r="B309" s="2">
        <f>+'18O filtrado'!D280</f>
        <v>0</v>
      </c>
      <c r="C309" s="2">
        <f>+'18O filtrado'!P280</f>
        <v>0</v>
      </c>
      <c r="D309" s="5">
        <f t="shared" si="6"/>
        <v>-1.7937464536986967</v>
      </c>
    </row>
    <row r="310" spans="1:4">
      <c r="A310" s="2">
        <f>+'18O filtrado'!C281</f>
        <v>0</v>
      </c>
      <c r="B310" s="2">
        <f>+'18O filtrado'!D281</f>
        <v>0</v>
      </c>
      <c r="C310" s="2">
        <f>+'18O filtrado'!P281</f>
        <v>0</v>
      </c>
      <c r="D310" s="5">
        <f t="shared" si="6"/>
        <v>-1.7937464536986967</v>
      </c>
    </row>
    <row r="311" spans="1:4">
      <c r="A311" s="2">
        <f>+'18O filtrado'!C282</f>
        <v>0</v>
      </c>
      <c r="B311" s="2">
        <f>+'18O filtrado'!D282</f>
        <v>0</v>
      </c>
      <c r="C311" s="2">
        <f>+'18O filtrado'!P282</f>
        <v>0</v>
      </c>
      <c r="D311" s="5">
        <f t="shared" si="6"/>
        <v>-1.7937464536986967</v>
      </c>
    </row>
    <row r="312" spans="1:4">
      <c r="A312" s="2">
        <f>+'18O filtrado'!C283</f>
        <v>0</v>
      </c>
      <c r="B312" s="2">
        <f>+'18O filtrado'!D283</f>
        <v>0</v>
      </c>
      <c r="C312" s="2">
        <f>+'18O filtrado'!P283</f>
        <v>0</v>
      </c>
      <c r="D312" s="5">
        <f t="shared" si="6"/>
        <v>-1.7937464536986967</v>
      </c>
    </row>
    <row r="313" spans="1:4">
      <c r="A313" s="2">
        <f>+'18O filtrado'!C284</f>
        <v>0</v>
      </c>
      <c r="B313" s="2">
        <f>+'18O filtrado'!D284</f>
        <v>0</v>
      </c>
      <c r="C313" s="2">
        <f>+'18O filtrado'!P284</f>
        <v>0</v>
      </c>
      <c r="D313" s="5">
        <f t="shared" si="6"/>
        <v>-1.7937464536986967</v>
      </c>
    </row>
    <row r="314" spans="1:4">
      <c r="A314" s="2">
        <f>+'18O filtrado'!C285</f>
        <v>0</v>
      </c>
      <c r="B314" s="2">
        <f>+'18O filtrado'!D285</f>
        <v>0</v>
      </c>
      <c r="C314" s="2">
        <f>+'18O filtrado'!P285</f>
        <v>0</v>
      </c>
      <c r="D314" s="5">
        <f t="shared" si="6"/>
        <v>-1.7937464536986967</v>
      </c>
    </row>
    <row r="315" spans="1:4">
      <c r="A315" s="2">
        <f>+'18O filtrado'!C286</f>
        <v>0</v>
      </c>
      <c r="B315" s="2">
        <f>+'18O filtrado'!D286</f>
        <v>0</v>
      </c>
      <c r="C315" s="2">
        <f>+'18O filtrado'!P286</f>
        <v>0</v>
      </c>
      <c r="D315" s="5">
        <f t="shared" si="6"/>
        <v>-1.7937464536986967</v>
      </c>
    </row>
    <row r="316" spans="1:4">
      <c r="A316" s="2">
        <f>+'18O filtrado'!C287</f>
        <v>0</v>
      </c>
      <c r="B316" s="2">
        <f>+'18O filtrado'!D287</f>
        <v>0</v>
      </c>
      <c r="C316" s="2">
        <f>+'18O filtrado'!P287</f>
        <v>0</v>
      </c>
      <c r="D316" s="5">
        <f t="shared" si="6"/>
        <v>-1.7937464536986967</v>
      </c>
    </row>
    <row r="317" spans="1:4">
      <c r="A317" s="2">
        <f>+'18O filtrado'!C288</f>
        <v>0</v>
      </c>
      <c r="B317" s="2">
        <f>+'18O filtrado'!D288</f>
        <v>0</v>
      </c>
      <c r="C317" s="2">
        <f>+'18O filtrado'!P288</f>
        <v>0</v>
      </c>
      <c r="D317" s="5">
        <f t="shared" si="6"/>
        <v>-1.7937464536986967</v>
      </c>
    </row>
    <row r="318" spans="1:4">
      <c r="A318" s="2">
        <f>+'18O filtrado'!C289</f>
        <v>0</v>
      </c>
      <c r="B318" s="2">
        <f>+'18O filtrado'!D289</f>
        <v>0</v>
      </c>
      <c r="C318" s="2">
        <f>+'18O filtrado'!P289</f>
        <v>0</v>
      </c>
      <c r="D318" s="5">
        <f t="shared" si="6"/>
        <v>-1.7937464536986967</v>
      </c>
    </row>
    <row r="319" spans="1:4">
      <c r="A319" s="2">
        <f>+'18O filtrado'!C290</f>
        <v>0</v>
      </c>
      <c r="B319" s="2">
        <f>+'18O filtrado'!D290</f>
        <v>0</v>
      </c>
      <c r="C319" s="2">
        <f>+'18O filtrado'!P290</f>
        <v>0</v>
      </c>
      <c r="D319" s="5">
        <f t="shared" si="6"/>
        <v>-1.7937464536986967</v>
      </c>
    </row>
    <row r="320" spans="1:4">
      <c r="A320" s="2">
        <f>+'18O filtrado'!C291</f>
        <v>0</v>
      </c>
      <c r="B320" s="2">
        <f>+'18O filtrado'!D291</f>
        <v>0</v>
      </c>
      <c r="C320" s="2">
        <f>+'18O filtrado'!P291</f>
        <v>0</v>
      </c>
      <c r="D320" s="5">
        <f t="shared" si="6"/>
        <v>-1.7937464536986967</v>
      </c>
    </row>
    <row r="321" spans="1:4">
      <c r="A321" s="2">
        <f>+'18O filtrado'!C292</f>
        <v>0</v>
      </c>
      <c r="B321" s="2">
        <f>+'18O filtrado'!D292</f>
        <v>0</v>
      </c>
      <c r="C321" s="2">
        <f>+'18O filtrado'!P292</f>
        <v>0</v>
      </c>
      <c r="D321" s="5">
        <f t="shared" si="6"/>
        <v>-1.7937464536986967</v>
      </c>
    </row>
    <row r="322" spans="1:4">
      <c r="A322" s="2">
        <f>+'18O filtrado'!C293</f>
        <v>0</v>
      </c>
      <c r="B322" s="2">
        <f>+'18O filtrado'!D293</f>
        <v>0</v>
      </c>
      <c r="C322" s="2">
        <f>+'18O filtrado'!P293</f>
        <v>0</v>
      </c>
      <c r="D322" s="5">
        <f t="shared" si="6"/>
        <v>-1.7937464536986967</v>
      </c>
    </row>
    <row r="323" spans="1:4">
      <c r="A323" s="2">
        <f>+'18O filtrado'!C294</f>
        <v>0</v>
      </c>
      <c r="B323" s="2">
        <f>+'18O filtrado'!D294</f>
        <v>0</v>
      </c>
      <c r="C323" s="2">
        <f>+'18O filtrado'!P294</f>
        <v>0</v>
      </c>
      <c r="D323" s="5">
        <f t="shared" si="6"/>
        <v>-1.7937464536986967</v>
      </c>
    </row>
    <row r="324" spans="1:4">
      <c r="A324" s="2">
        <f>+'18O filtrado'!C295</f>
        <v>0</v>
      </c>
      <c r="B324" s="2">
        <f>+'18O filtrado'!D295</f>
        <v>0</v>
      </c>
      <c r="C324" s="2">
        <f>+'18O filtrado'!P295</f>
        <v>0</v>
      </c>
      <c r="D324" s="5">
        <f t="shared" si="6"/>
        <v>-1.7937464536986967</v>
      </c>
    </row>
    <row r="325" spans="1:4">
      <c r="A325" s="2">
        <f>+'18O filtrado'!C296</f>
        <v>0</v>
      </c>
      <c r="B325" s="2">
        <f>+'18O filtrado'!D296</f>
        <v>0</v>
      </c>
      <c r="C325" s="2">
        <f>+'18O filtrado'!P296</f>
        <v>0</v>
      </c>
      <c r="D325" s="5">
        <f t="shared" si="6"/>
        <v>-1.7937464536986967</v>
      </c>
    </row>
    <row r="326" spans="1:4">
      <c r="A326" s="2">
        <f>+'18O filtrado'!C297</f>
        <v>0</v>
      </c>
      <c r="B326" s="2">
        <f>+'18O filtrado'!D297</f>
        <v>0</v>
      </c>
      <c r="C326" s="2">
        <f>+'18O filtrado'!P297</f>
        <v>0</v>
      </c>
      <c r="D326" s="5">
        <f t="shared" si="6"/>
        <v>-1.7937464536986967</v>
      </c>
    </row>
    <row r="327" spans="1:4">
      <c r="A327" s="2">
        <f>+'18O filtrado'!C298</f>
        <v>0</v>
      </c>
      <c r="B327" s="2">
        <f>+'18O filtrado'!D298</f>
        <v>0</v>
      </c>
      <c r="C327" s="2">
        <f>+'18O filtrado'!P298</f>
        <v>0</v>
      </c>
      <c r="D327" s="5">
        <f t="shared" si="6"/>
        <v>-1.7937464536986967</v>
      </c>
    </row>
    <row r="328" spans="1:4">
      <c r="A328" s="2">
        <f>+'18O filtrado'!C299</f>
        <v>0</v>
      </c>
      <c r="B328" s="2">
        <f>+'18O filtrado'!D299</f>
        <v>0</v>
      </c>
      <c r="C328" s="2">
        <f>+'18O filtrado'!P299</f>
        <v>0</v>
      </c>
      <c r="D328" s="5">
        <f t="shared" si="6"/>
        <v>-1.7937464536986967</v>
      </c>
    </row>
    <row r="329" spans="1:4">
      <c r="A329" s="2">
        <f>+'18O filtrado'!C300</f>
        <v>0</v>
      </c>
      <c r="B329" s="2">
        <f>+'18O filtrado'!D300</f>
        <v>0</v>
      </c>
      <c r="C329" s="2">
        <f>+'18O filtrado'!P300</f>
        <v>0</v>
      </c>
      <c r="D329" s="5">
        <f t="shared" si="6"/>
        <v>-1.7937464536986967</v>
      </c>
    </row>
    <row r="330" spans="1:4">
      <c r="A330" s="2">
        <f>+'18O filtrado'!C301</f>
        <v>0</v>
      </c>
      <c r="B330" s="2">
        <f>+'18O filtrado'!D301</f>
        <v>0</v>
      </c>
      <c r="C330" s="2">
        <f>+'18O filtrado'!P301</f>
        <v>0</v>
      </c>
      <c r="D330" s="5">
        <f t="shared" si="6"/>
        <v>-1.7937464536986967</v>
      </c>
    </row>
    <row r="331" spans="1:4">
      <c r="A331" s="2">
        <f>+'18O filtrado'!C302</f>
        <v>0</v>
      </c>
      <c r="B331" s="2">
        <f>+'18O filtrado'!D302</f>
        <v>0</v>
      </c>
      <c r="C331" s="2">
        <f>+'18O filtrado'!P302</f>
        <v>0</v>
      </c>
      <c r="D331" s="5">
        <f t="shared" si="6"/>
        <v>-1.7937464536986967</v>
      </c>
    </row>
    <row r="332" spans="1:4">
      <c r="A332" s="2">
        <f>+'18O filtrado'!C303</f>
        <v>0</v>
      </c>
      <c r="B332" s="2">
        <f>+'18O filtrado'!D303</f>
        <v>0</v>
      </c>
      <c r="C332" s="2">
        <f>+'18O filtrado'!P303</f>
        <v>0</v>
      </c>
      <c r="D332" s="5">
        <f t="shared" si="6"/>
        <v>-1.7937464536986967</v>
      </c>
    </row>
    <row r="333" spans="1:4">
      <c r="A333" s="2">
        <f>+'18O filtrado'!C304</f>
        <v>0</v>
      </c>
      <c r="B333" s="2">
        <f>+'18O filtrado'!D304</f>
        <v>0</v>
      </c>
      <c r="C333" s="2">
        <f>+'18O filtrado'!P304</f>
        <v>0</v>
      </c>
      <c r="D333" s="5">
        <f t="shared" si="6"/>
        <v>-1.7937464536986967</v>
      </c>
    </row>
    <row r="334" spans="1:4">
      <c r="A334" s="2">
        <f>+'18O filtrado'!C305</f>
        <v>0</v>
      </c>
      <c r="B334" s="2">
        <f>+'18O filtrado'!D305</f>
        <v>0</v>
      </c>
      <c r="C334" s="2">
        <f>+'18O filtrado'!P305</f>
        <v>0</v>
      </c>
      <c r="D334" s="5">
        <f t="shared" si="6"/>
        <v>-1.7937464536986967</v>
      </c>
    </row>
    <row r="335" spans="1:4">
      <c r="A335" s="2">
        <f>+'18O filtrado'!C306</f>
        <v>0</v>
      </c>
      <c r="B335" s="2">
        <f>+'18O filtrado'!D306</f>
        <v>0</v>
      </c>
      <c r="C335" s="2">
        <f>+'18O filtrado'!P306</f>
        <v>0</v>
      </c>
      <c r="D335" s="5">
        <f t="shared" si="6"/>
        <v>-1.7937464536986967</v>
      </c>
    </row>
    <row r="336" spans="1:4">
      <c r="A336" s="2">
        <f>+'18O filtrado'!C307</f>
        <v>0</v>
      </c>
      <c r="B336" s="2">
        <f>+'18O filtrado'!D307</f>
        <v>0</v>
      </c>
      <c r="C336" s="2">
        <f>+'18O filtrado'!P307</f>
        <v>0</v>
      </c>
      <c r="D336" s="5">
        <f t="shared" si="6"/>
        <v>-1.7937464536986967</v>
      </c>
    </row>
    <row r="337" spans="1:4">
      <c r="A337" s="2">
        <f>+'18O filtrado'!C308</f>
        <v>0</v>
      </c>
      <c r="B337" s="2">
        <f>+'18O filtrado'!D308</f>
        <v>0</v>
      </c>
      <c r="C337" s="2">
        <f>+'18O filtrado'!P308</f>
        <v>0</v>
      </c>
      <c r="D337" s="5">
        <f t="shared" si="6"/>
        <v>-1.7937464536986967</v>
      </c>
    </row>
    <row r="338" spans="1:4">
      <c r="A338" s="2">
        <f>+'18O filtrado'!C309</f>
        <v>0</v>
      </c>
      <c r="B338" s="2">
        <f>+'18O filtrado'!D309</f>
        <v>0</v>
      </c>
      <c r="C338" s="2">
        <f>+'18O filtrado'!P309</f>
        <v>0</v>
      </c>
      <c r="D338" s="5">
        <f t="shared" si="6"/>
        <v>-1.7937464536986967</v>
      </c>
    </row>
    <row r="339" spans="1:4">
      <c r="A339" s="2">
        <f>+'18O filtrado'!C310</f>
        <v>0</v>
      </c>
      <c r="B339" s="2">
        <f>+'18O filtrado'!D310</f>
        <v>0</v>
      </c>
      <c r="C339" s="2">
        <f>+'18O filtrado'!P310</f>
        <v>0</v>
      </c>
      <c r="D339" s="5">
        <f t="shared" si="6"/>
        <v>-1.7937464536986967</v>
      </c>
    </row>
    <row r="340" spans="1:4">
      <c r="A340" s="2">
        <f>+'18O filtrado'!C311</f>
        <v>0</v>
      </c>
      <c r="B340" s="2">
        <f>+'18O filtrado'!D311</f>
        <v>0</v>
      </c>
      <c r="C340" s="2">
        <f>+'18O filtrado'!P311</f>
        <v>0</v>
      </c>
      <c r="D340" s="5">
        <f t="shared" si="6"/>
        <v>-1.7937464536986967</v>
      </c>
    </row>
    <row r="341" spans="1:4">
      <c r="A341" s="2">
        <f>+'18O filtrado'!C312</f>
        <v>0</v>
      </c>
      <c r="B341" s="2">
        <f>+'18O filtrado'!D312</f>
        <v>0</v>
      </c>
      <c r="C341" s="2">
        <f>+'18O filtrado'!P312</f>
        <v>0</v>
      </c>
      <c r="D341" s="5">
        <f t="shared" si="6"/>
        <v>-1.7937464536986967</v>
      </c>
    </row>
    <row r="342" spans="1:4">
      <c r="A342" s="2">
        <f>+'18O filtrado'!C313</f>
        <v>0</v>
      </c>
      <c r="B342" s="2">
        <f>+'18O filtrado'!D313</f>
        <v>0</v>
      </c>
      <c r="C342" s="2">
        <f>+'18O filtrado'!P313</f>
        <v>0</v>
      </c>
      <c r="D342" s="5">
        <f t="shared" si="6"/>
        <v>-1.7937464536986967</v>
      </c>
    </row>
    <row r="343" spans="1:4">
      <c r="A343" s="2">
        <f>+'18O filtrado'!C314</f>
        <v>0</v>
      </c>
      <c r="B343" s="2">
        <f>+'18O filtrado'!D314</f>
        <v>0</v>
      </c>
      <c r="C343" s="2">
        <f>+'18O filtrado'!P314</f>
        <v>0</v>
      </c>
      <c r="D343" s="5">
        <f t="shared" si="6"/>
        <v>-1.7937464536986967</v>
      </c>
    </row>
    <row r="344" spans="1:4">
      <c r="A344" s="2">
        <f>+'18O filtrado'!C315</f>
        <v>0</v>
      </c>
      <c r="B344" s="2">
        <f>+'18O filtrado'!D315</f>
        <v>0</v>
      </c>
      <c r="C344" s="2">
        <f>+'18O filtrado'!P315</f>
        <v>0</v>
      </c>
      <c r="D344" s="5">
        <f t="shared" si="6"/>
        <v>-1.7937464536986967</v>
      </c>
    </row>
    <row r="345" spans="1:4">
      <c r="A345" s="2">
        <f>+'18O filtrado'!C316</f>
        <v>0</v>
      </c>
      <c r="B345" s="2">
        <f>+'18O filtrado'!D316</f>
        <v>0</v>
      </c>
      <c r="C345" s="2">
        <f>+'18O filtrado'!P316</f>
        <v>0</v>
      </c>
      <c r="D345" s="5">
        <f t="shared" si="6"/>
        <v>-1.7937464536986967</v>
      </c>
    </row>
    <row r="346" spans="1:4">
      <c r="A346" s="2">
        <f>+'18O filtrado'!C317</f>
        <v>0</v>
      </c>
      <c r="B346" s="2">
        <f>+'18O filtrado'!D317</f>
        <v>0</v>
      </c>
      <c r="C346" s="2">
        <f>+'18O filtrado'!P317</f>
        <v>0</v>
      </c>
      <c r="D346" s="5">
        <f t="shared" si="6"/>
        <v>-1.7937464536986967</v>
      </c>
    </row>
    <row r="347" spans="1:4">
      <c r="A347" s="2">
        <f>+'18O filtrado'!C318</f>
        <v>0</v>
      </c>
      <c r="B347" s="2">
        <f>+'18O filtrado'!D318</f>
        <v>0</v>
      </c>
      <c r="C347" s="2">
        <f>+'18O filtrado'!P318</f>
        <v>0</v>
      </c>
      <c r="D347" s="5">
        <f t="shared" si="6"/>
        <v>-1.7937464536986967</v>
      </c>
    </row>
    <row r="348" spans="1:4">
      <c r="A348" s="2">
        <f>+'18O filtrado'!C319</f>
        <v>0</v>
      </c>
      <c r="B348" s="2">
        <f>+'18O filtrado'!D319</f>
        <v>0</v>
      </c>
      <c r="C348" s="2">
        <f>+'18O filtrado'!P319</f>
        <v>0</v>
      </c>
      <c r="D348" s="5">
        <f t="shared" si="6"/>
        <v>-1.7937464536986967</v>
      </c>
    </row>
    <row r="349" spans="1:4">
      <c r="A349" s="2">
        <f>+'18O filtrado'!C320</f>
        <v>0</v>
      </c>
      <c r="B349" s="2">
        <f>+'18O filtrado'!D320</f>
        <v>0</v>
      </c>
      <c r="C349" s="2">
        <f>+'18O filtrado'!P320</f>
        <v>0</v>
      </c>
      <c r="D349" s="5">
        <f t="shared" si="6"/>
        <v>-1.7937464536986967</v>
      </c>
    </row>
    <row r="350" spans="1:4">
      <c r="A350" s="2">
        <f>+'18O filtrado'!C321</f>
        <v>0</v>
      </c>
      <c r="B350" s="2">
        <f>+'18O filtrado'!D321</f>
        <v>0</v>
      </c>
      <c r="C350" s="2">
        <f>+'18O filtrado'!P321</f>
        <v>0</v>
      </c>
      <c r="D350" s="5">
        <f t="shared" si="6"/>
        <v>-1.7937464536986967</v>
      </c>
    </row>
    <row r="351" spans="1:4">
      <c r="A351" s="2">
        <f>+'18O filtrado'!C322</f>
        <v>0</v>
      </c>
      <c r="B351" s="2">
        <f>+'18O filtrado'!D322</f>
        <v>0</v>
      </c>
      <c r="C351" s="2">
        <f>+'18O filtrado'!P322</f>
        <v>0</v>
      </c>
      <c r="D351" s="5">
        <f t="shared" si="6"/>
        <v>-1.7937464536986967</v>
      </c>
    </row>
    <row r="352" spans="1:4">
      <c r="A352" s="2">
        <f>+'18O filtrado'!C323</f>
        <v>0</v>
      </c>
      <c r="B352" s="2">
        <f>+'18O filtrado'!D323</f>
        <v>0</v>
      </c>
      <c r="C352" s="2">
        <f>+'18O filtrado'!P323</f>
        <v>0</v>
      </c>
      <c r="D352" s="5">
        <f t="shared" ref="D352:D415" si="7">+(C352-$N$22)/$N$21</f>
        <v>-1.7937464536986967</v>
      </c>
    </row>
    <row r="353" spans="1:4">
      <c r="A353" s="2">
        <f>+'18O filtrado'!C324</f>
        <v>0</v>
      </c>
      <c r="B353" s="2">
        <f>+'18O filtrado'!D324</f>
        <v>0</v>
      </c>
      <c r="C353" s="2">
        <f>+'18O filtrado'!P324</f>
        <v>0</v>
      </c>
      <c r="D353" s="5">
        <f t="shared" si="7"/>
        <v>-1.7937464536986967</v>
      </c>
    </row>
    <row r="354" spans="1:4">
      <c r="A354" s="2">
        <f>+'18O filtrado'!C325</f>
        <v>0</v>
      </c>
      <c r="B354" s="2">
        <f>+'18O filtrado'!D325</f>
        <v>0</v>
      </c>
      <c r="C354" s="2">
        <f>+'18O filtrado'!P325</f>
        <v>0</v>
      </c>
      <c r="D354" s="5">
        <f t="shared" si="7"/>
        <v>-1.7937464536986967</v>
      </c>
    </row>
    <row r="355" spans="1:4">
      <c r="A355" s="2">
        <f>+'18O filtrado'!C326</f>
        <v>0</v>
      </c>
      <c r="B355" s="2">
        <f>+'18O filtrado'!D326</f>
        <v>0</v>
      </c>
      <c r="C355" s="2">
        <f>+'18O filtrado'!P326</f>
        <v>0</v>
      </c>
      <c r="D355" s="5">
        <f t="shared" si="7"/>
        <v>-1.7937464536986967</v>
      </c>
    </row>
    <row r="356" spans="1:4">
      <c r="A356" s="2">
        <f>+'18O filtrado'!C327</f>
        <v>0</v>
      </c>
      <c r="B356" s="2">
        <f>+'18O filtrado'!D327</f>
        <v>0</v>
      </c>
      <c r="C356" s="2">
        <f>+'18O filtrado'!P327</f>
        <v>0</v>
      </c>
      <c r="D356" s="5">
        <f t="shared" si="7"/>
        <v>-1.7937464536986967</v>
      </c>
    </row>
    <row r="357" spans="1:4">
      <c r="A357" s="2">
        <f>+'18O filtrado'!C328</f>
        <v>0</v>
      </c>
      <c r="B357" s="2">
        <f>+'18O filtrado'!D328</f>
        <v>0</v>
      </c>
      <c r="C357" s="2">
        <f>+'18O filtrado'!P328</f>
        <v>0</v>
      </c>
      <c r="D357" s="5">
        <f t="shared" si="7"/>
        <v>-1.7937464536986967</v>
      </c>
    </row>
    <row r="358" spans="1:4">
      <c r="A358" s="2">
        <f>+'18O filtrado'!C329</f>
        <v>0</v>
      </c>
      <c r="B358" s="2">
        <f>+'18O filtrado'!D329</f>
        <v>0</v>
      </c>
      <c r="C358" s="2">
        <f>+'18O filtrado'!P329</f>
        <v>0</v>
      </c>
      <c r="D358" s="5">
        <f t="shared" si="7"/>
        <v>-1.7937464536986967</v>
      </c>
    </row>
    <row r="359" spans="1:4">
      <c r="A359" s="2">
        <f>+'18O filtrado'!C330</f>
        <v>0</v>
      </c>
      <c r="B359" s="2">
        <f>+'18O filtrado'!D330</f>
        <v>0</v>
      </c>
      <c r="C359" s="2">
        <f>+'18O filtrado'!P330</f>
        <v>0</v>
      </c>
      <c r="D359" s="5">
        <f t="shared" si="7"/>
        <v>-1.7937464536986967</v>
      </c>
    </row>
    <row r="360" spans="1:4">
      <c r="A360" s="2">
        <f>+'18O filtrado'!C331</f>
        <v>0</v>
      </c>
      <c r="B360" s="2">
        <f>+'18O filtrado'!D331</f>
        <v>0</v>
      </c>
      <c r="C360" s="2">
        <f>+'18O filtrado'!P331</f>
        <v>0</v>
      </c>
      <c r="D360" s="5">
        <f t="shared" si="7"/>
        <v>-1.7937464536986967</v>
      </c>
    </row>
    <row r="361" spans="1:4">
      <c r="A361" s="2">
        <f>+'18O filtrado'!C332</f>
        <v>0</v>
      </c>
      <c r="B361" s="2">
        <f>+'18O filtrado'!D332</f>
        <v>0</v>
      </c>
      <c r="C361" s="2">
        <f>+'18O filtrado'!P332</f>
        <v>0</v>
      </c>
      <c r="D361" s="5">
        <f t="shared" si="7"/>
        <v>-1.7937464536986967</v>
      </c>
    </row>
    <row r="362" spans="1:4">
      <c r="A362" s="2">
        <f>+'18O filtrado'!C333</f>
        <v>0</v>
      </c>
      <c r="B362" s="2">
        <f>+'18O filtrado'!D333</f>
        <v>0</v>
      </c>
      <c r="C362" s="2">
        <f>+'18O filtrado'!P333</f>
        <v>0</v>
      </c>
      <c r="D362" s="5">
        <f t="shared" si="7"/>
        <v>-1.7937464536986967</v>
      </c>
    </row>
    <row r="363" spans="1:4">
      <c r="A363" s="2">
        <f>+'18O filtrado'!C334</f>
        <v>0</v>
      </c>
      <c r="B363" s="2">
        <f>+'18O filtrado'!D334</f>
        <v>0</v>
      </c>
      <c r="C363" s="2">
        <f>+'18O filtrado'!P334</f>
        <v>0</v>
      </c>
      <c r="D363" s="5">
        <f t="shared" si="7"/>
        <v>-1.7937464536986967</v>
      </c>
    </row>
    <row r="364" spans="1:4">
      <c r="A364" s="2">
        <f>+'18O filtrado'!C335</f>
        <v>0</v>
      </c>
      <c r="B364" s="2">
        <f>+'18O filtrado'!D335</f>
        <v>0</v>
      </c>
      <c r="C364" s="2">
        <f>+'18O filtrado'!P335</f>
        <v>0</v>
      </c>
      <c r="D364" s="5">
        <f t="shared" si="7"/>
        <v>-1.7937464536986967</v>
      </c>
    </row>
    <row r="365" spans="1:4">
      <c r="A365" s="2">
        <f>+'18O filtrado'!C336</f>
        <v>0</v>
      </c>
      <c r="B365" s="2">
        <f>+'18O filtrado'!D336</f>
        <v>0</v>
      </c>
      <c r="C365" s="2">
        <f>+'18O filtrado'!P336</f>
        <v>0</v>
      </c>
      <c r="D365" s="5">
        <f t="shared" si="7"/>
        <v>-1.7937464536986967</v>
      </c>
    </row>
    <row r="366" spans="1:4">
      <c r="A366" s="2">
        <f>+'18O filtrado'!C337</f>
        <v>0</v>
      </c>
      <c r="B366" s="2">
        <f>+'18O filtrado'!D337</f>
        <v>0</v>
      </c>
      <c r="C366" s="2">
        <f>+'18O filtrado'!P337</f>
        <v>0</v>
      </c>
      <c r="D366" s="5">
        <f t="shared" si="7"/>
        <v>-1.7937464536986967</v>
      </c>
    </row>
    <row r="367" spans="1:4">
      <c r="A367" s="2">
        <f>+'18O filtrado'!C338</f>
        <v>0</v>
      </c>
      <c r="B367" s="2">
        <f>+'18O filtrado'!D338</f>
        <v>0</v>
      </c>
      <c r="C367" s="2">
        <f>+'18O filtrado'!P338</f>
        <v>0</v>
      </c>
      <c r="D367" s="5">
        <f t="shared" si="7"/>
        <v>-1.7937464536986967</v>
      </c>
    </row>
    <row r="368" spans="1:4">
      <c r="A368" s="2">
        <f>+'18O filtrado'!C339</f>
        <v>0</v>
      </c>
      <c r="B368" s="2">
        <f>+'18O filtrado'!D339</f>
        <v>0</v>
      </c>
      <c r="C368" s="2">
        <f>+'18O filtrado'!P339</f>
        <v>0</v>
      </c>
      <c r="D368" s="5">
        <f t="shared" si="7"/>
        <v>-1.7937464536986967</v>
      </c>
    </row>
    <row r="369" spans="1:4">
      <c r="A369" s="2">
        <f>+'18O filtrado'!C340</f>
        <v>0</v>
      </c>
      <c r="B369" s="2">
        <f>+'18O filtrado'!D340</f>
        <v>0</v>
      </c>
      <c r="C369" s="2">
        <f>+'18O filtrado'!P340</f>
        <v>0</v>
      </c>
      <c r="D369" s="5">
        <f t="shared" si="7"/>
        <v>-1.7937464536986967</v>
      </c>
    </row>
    <row r="370" spans="1:4">
      <c r="A370" s="2">
        <f>+'18O filtrado'!C341</f>
        <v>0</v>
      </c>
      <c r="B370" s="2">
        <f>+'18O filtrado'!D341</f>
        <v>0</v>
      </c>
      <c r="C370" s="2">
        <f>+'18O filtrado'!P341</f>
        <v>0</v>
      </c>
      <c r="D370" s="5">
        <f t="shared" si="7"/>
        <v>-1.7937464536986967</v>
      </c>
    </row>
    <row r="371" spans="1:4">
      <c r="A371" s="2">
        <f>+'18O filtrado'!C342</f>
        <v>0</v>
      </c>
      <c r="B371" s="2">
        <f>+'18O filtrado'!D342</f>
        <v>0</v>
      </c>
      <c r="C371" s="2">
        <f>+'18O filtrado'!P342</f>
        <v>0</v>
      </c>
      <c r="D371" s="5">
        <f t="shared" si="7"/>
        <v>-1.7937464536986967</v>
      </c>
    </row>
    <row r="372" spans="1:4">
      <c r="A372" s="2">
        <f>+'18O filtrado'!C343</f>
        <v>0</v>
      </c>
      <c r="B372" s="2">
        <f>+'18O filtrado'!D343</f>
        <v>0</v>
      </c>
      <c r="C372" s="2">
        <f>+'18O filtrado'!P343</f>
        <v>0</v>
      </c>
      <c r="D372" s="5">
        <f t="shared" si="7"/>
        <v>-1.7937464536986967</v>
      </c>
    </row>
    <row r="373" spans="1:4">
      <c r="A373" s="2">
        <f>+'18O filtrado'!C344</f>
        <v>0</v>
      </c>
      <c r="B373" s="2">
        <f>+'18O filtrado'!D344</f>
        <v>0</v>
      </c>
      <c r="C373" s="2">
        <f>+'18O filtrado'!P344</f>
        <v>0</v>
      </c>
      <c r="D373" s="5">
        <f t="shared" si="7"/>
        <v>-1.7937464536986967</v>
      </c>
    </row>
    <row r="374" spans="1:4">
      <c r="A374" s="2">
        <f>+'18O filtrado'!C345</f>
        <v>0</v>
      </c>
      <c r="B374" s="2">
        <f>+'18O filtrado'!D345</f>
        <v>0</v>
      </c>
      <c r="C374" s="2">
        <f>+'18O filtrado'!P345</f>
        <v>0</v>
      </c>
      <c r="D374" s="5">
        <f t="shared" si="7"/>
        <v>-1.7937464536986967</v>
      </c>
    </row>
    <row r="375" spans="1:4">
      <c r="A375" s="2">
        <f>+'18O filtrado'!C346</f>
        <v>0</v>
      </c>
      <c r="B375" s="2">
        <f>+'18O filtrado'!D346</f>
        <v>0</v>
      </c>
      <c r="C375" s="2">
        <f>+'18O filtrado'!P346</f>
        <v>0</v>
      </c>
      <c r="D375" s="5">
        <f t="shared" si="7"/>
        <v>-1.7937464536986967</v>
      </c>
    </row>
    <row r="376" spans="1:4">
      <c r="A376" s="2">
        <f>+'18O filtrado'!C347</f>
        <v>0</v>
      </c>
      <c r="B376" s="2">
        <f>+'18O filtrado'!D347</f>
        <v>0</v>
      </c>
      <c r="C376" s="2">
        <f>+'18O filtrado'!P347</f>
        <v>0</v>
      </c>
      <c r="D376" s="5">
        <f t="shared" si="7"/>
        <v>-1.7937464536986967</v>
      </c>
    </row>
    <row r="377" spans="1:4">
      <c r="A377" s="2">
        <f>+'18O filtrado'!C348</f>
        <v>0</v>
      </c>
      <c r="B377" s="2">
        <f>+'18O filtrado'!D348</f>
        <v>0</v>
      </c>
      <c r="C377" s="2">
        <f>+'18O filtrado'!P348</f>
        <v>0</v>
      </c>
      <c r="D377" s="5">
        <f t="shared" si="7"/>
        <v>-1.7937464536986967</v>
      </c>
    </row>
    <row r="378" spans="1:4">
      <c r="A378" s="2">
        <f>+'18O filtrado'!C349</f>
        <v>0</v>
      </c>
      <c r="B378" s="2">
        <f>+'18O filtrado'!D349</f>
        <v>0</v>
      </c>
      <c r="C378" s="2">
        <f>+'18O filtrado'!P349</f>
        <v>0</v>
      </c>
      <c r="D378" s="5">
        <f t="shared" si="7"/>
        <v>-1.7937464536986967</v>
      </c>
    </row>
    <row r="379" spans="1:4">
      <c r="A379" s="2">
        <f>+'18O filtrado'!C350</f>
        <v>0</v>
      </c>
      <c r="B379" s="2">
        <f>+'18O filtrado'!D350</f>
        <v>0</v>
      </c>
      <c r="C379" s="2">
        <f>+'18O filtrado'!P350</f>
        <v>0</v>
      </c>
      <c r="D379" s="5">
        <f t="shared" si="7"/>
        <v>-1.7937464536986967</v>
      </c>
    </row>
    <row r="380" spans="1:4">
      <c r="A380" s="2">
        <f>+'18O filtrado'!C351</f>
        <v>0</v>
      </c>
      <c r="B380" s="2">
        <f>+'18O filtrado'!D351</f>
        <v>0</v>
      </c>
      <c r="C380" s="2">
        <f>+'18O filtrado'!P351</f>
        <v>0</v>
      </c>
      <c r="D380" s="5">
        <f t="shared" si="7"/>
        <v>-1.7937464536986967</v>
      </c>
    </row>
    <row r="381" spans="1:4">
      <c r="A381" s="2">
        <f>+'18O filtrado'!C352</f>
        <v>0</v>
      </c>
      <c r="B381" s="2">
        <f>+'18O filtrado'!D352</f>
        <v>0</v>
      </c>
      <c r="C381" s="2">
        <f>+'18O filtrado'!P352</f>
        <v>0</v>
      </c>
      <c r="D381" s="5">
        <f t="shared" si="7"/>
        <v>-1.7937464536986967</v>
      </c>
    </row>
    <row r="382" spans="1:4">
      <c r="A382" s="2">
        <f>+'18O filtrado'!C353</f>
        <v>0</v>
      </c>
      <c r="B382" s="2">
        <f>+'18O filtrado'!D353</f>
        <v>0</v>
      </c>
      <c r="C382" s="2">
        <f>+'18O filtrado'!P353</f>
        <v>0</v>
      </c>
      <c r="D382" s="5">
        <f t="shared" si="7"/>
        <v>-1.7937464536986967</v>
      </c>
    </row>
    <row r="383" spans="1:4">
      <c r="A383" s="2">
        <f>+'18O filtrado'!C354</f>
        <v>0</v>
      </c>
      <c r="B383" s="2">
        <f>+'18O filtrado'!D354</f>
        <v>0</v>
      </c>
      <c r="C383" s="2">
        <f>+'18O filtrado'!P354</f>
        <v>0</v>
      </c>
      <c r="D383" s="5">
        <f t="shared" si="7"/>
        <v>-1.7937464536986967</v>
      </c>
    </row>
    <row r="384" spans="1:4">
      <c r="A384" s="2">
        <f>+'18O filtrado'!C355</f>
        <v>0</v>
      </c>
      <c r="B384" s="2">
        <f>+'18O filtrado'!D355</f>
        <v>0</v>
      </c>
      <c r="C384" s="2">
        <f>+'18O filtrado'!P355</f>
        <v>0</v>
      </c>
      <c r="D384" s="5">
        <f t="shared" si="7"/>
        <v>-1.7937464536986967</v>
      </c>
    </row>
    <row r="385" spans="1:4">
      <c r="A385" s="2">
        <f>+'18O filtrado'!C356</f>
        <v>0</v>
      </c>
      <c r="B385" s="2">
        <f>+'18O filtrado'!D356</f>
        <v>0</v>
      </c>
      <c r="C385" s="2">
        <f>+'18O filtrado'!P356</f>
        <v>0</v>
      </c>
      <c r="D385" s="5">
        <f t="shared" si="7"/>
        <v>-1.7937464536986967</v>
      </c>
    </row>
    <row r="386" spans="1:4">
      <c r="A386" s="2">
        <f>+'18O filtrado'!C357</f>
        <v>0</v>
      </c>
      <c r="B386" s="2">
        <f>+'18O filtrado'!D357</f>
        <v>0</v>
      </c>
      <c r="C386" s="2">
        <f>+'18O filtrado'!P357</f>
        <v>0</v>
      </c>
      <c r="D386" s="5">
        <f t="shared" si="7"/>
        <v>-1.7937464536986967</v>
      </c>
    </row>
    <row r="387" spans="1:4">
      <c r="A387" s="2">
        <f>+'18O filtrado'!C358</f>
        <v>0</v>
      </c>
      <c r="B387" s="2">
        <f>+'18O filtrado'!D358</f>
        <v>0</v>
      </c>
      <c r="C387" s="2">
        <f>+'18O filtrado'!P358</f>
        <v>0</v>
      </c>
      <c r="D387" s="5">
        <f t="shared" si="7"/>
        <v>-1.7937464536986967</v>
      </c>
    </row>
    <row r="388" spans="1:4">
      <c r="A388" s="2">
        <f>+'18O filtrado'!C359</f>
        <v>0</v>
      </c>
      <c r="B388" s="2">
        <f>+'18O filtrado'!D359</f>
        <v>0</v>
      </c>
      <c r="C388" s="2">
        <f>+'18O filtrado'!P359</f>
        <v>0</v>
      </c>
      <c r="D388" s="5">
        <f t="shared" si="7"/>
        <v>-1.7937464536986967</v>
      </c>
    </row>
    <row r="389" spans="1:4">
      <c r="A389" s="2">
        <f>+'18O filtrado'!C360</f>
        <v>0</v>
      </c>
      <c r="B389" s="2">
        <f>+'18O filtrado'!D360</f>
        <v>0</v>
      </c>
      <c r="C389" s="2">
        <f>+'18O filtrado'!P360</f>
        <v>0</v>
      </c>
      <c r="D389" s="5">
        <f t="shared" si="7"/>
        <v>-1.7937464536986967</v>
      </c>
    </row>
    <row r="390" spans="1:4">
      <c r="A390" s="2">
        <f>+'18O filtrado'!C361</f>
        <v>0</v>
      </c>
      <c r="B390" s="2">
        <f>+'18O filtrado'!D361</f>
        <v>0</v>
      </c>
      <c r="C390" s="2">
        <f>+'18O filtrado'!P361</f>
        <v>0</v>
      </c>
      <c r="D390" s="5">
        <f t="shared" si="7"/>
        <v>-1.7937464536986967</v>
      </c>
    </row>
    <row r="391" spans="1:4">
      <c r="A391" s="2">
        <f>+'18O filtrado'!C362</f>
        <v>0</v>
      </c>
      <c r="B391" s="2">
        <f>+'18O filtrado'!D362</f>
        <v>0</v>
      </c>
      <c r="C391" s="2">
        <f>+'18O filtrado'!P362</f>
        <v>0</v>
      </c>
      <c r="D391" s="5">
        <f t="shared" si="7"/>
        <v>-1.7937464536986967</v>
      </c>
    </row>
    <row r="392" spans="1:4">
      <c r="A392" s="2">
        <f>+'18O filtrado'!C363</f>
        <v>0</v>
      </c>
      <c r="B392" s="2">
        <f>+'18O filtrado'!D363</f>
        <v>0</v>
      </c>
      <c r="C392" s="2">
        <f>+'18O filtrado'!P363</f>
        <v>0</v>
      </c>
      <c r="D392" s="5">
        <f t="shared" si="7"/>
        <v>-1.7937464536986967</v>
      </c>
    </row>
    <row r="393" spans="1:4">
      <c r="A393" s="2">
        <f>+'18O filtrado'!C364</f>
        <v>0</v>
      </c>
      <c r="B393" s="2">
        <f>+'18O filtrado'!D364</f>
        <v>0</v>
      </c>
      <c r="C393" s="2">
        <f>+'18O filtrado'!P364</f>
        <v>0</v>
      </c>
      <c r="D393" s="5">
        <f t="shared" si="7"/>
        <v>-1.7937464536986967</v>
      </c>
    </row>
    <row r="394" spans="1:4">
      <c r="A394" s="2">
        <f>+'18O filtrado'!C365</f>
        <v>0</v>
      </c>
      <c r="B394" s="2">
        <f>+'18O filtrado'!D365</f>
        <v>0</v>
      </c>
      <c r="C394" s="2">
        <f>+'18O filtrado'!P365</f>
        <v>0</v>
      </c>
      <c r="D394" s="5">
        <f t="shared" si="7"/>
        <v>-1.7937464536986967</v>
      </c>
    </row>
    <row r="395" spans="1:4">
      <c r="A395" s="2">
        <f>+'18O filtrado'!C366</f>
        <v>0</v>
      </c>
      <c r="B395" s="2">
        <f>+'18O filtrado'!D366</f>
        <v>0</v>
      </c>
      <c r="C395" s="2">
        <f>+'18O filtrado'!P366</f>
        <v>0</v>
      </c>
      <c r="D395" s="5">
        <f t="shared" si="7"/>
        <v>-1.7937464536986967</v>
      </c>
    </row>
    <row r="396" spans="1:4">
      <c r="A396" s="2">
        <f>+'18O filtrado'!C367</f>
        <v>0</v>
      </c>
      <c r="B396" s="2">
        <f>+'18O filtrado'!D367</f>
        <v>0</v>
      </c>
      <c r="C396" s="2">
        <f>+'18O filtrado'!P367</f>
        <v>0</v>
      </c>
      <c r="D396" s="5">
        <f t="shared" si="7"/>
        <v>-1.7937464536986967</v>
      </c>
    </row>
    <row r="397" spans="1:4">
      <c r="A397" s="2">
        <f>+'18O filtrado'!C368</f>
        <v>0</v>
      </c>
      <c r="B397" s="2">
        <f>+'18O filtrado'!D368</f>
        <v>0</v>
      </c>
      <c r="C397" s="2">
        <f>+'18O filtrado'!P368</f>
        <v>0</v>
      </c>
      <c r="D397" s="5">
        <f t="shared" si="7"/>
        <v>-1.7937464536986967</v>
      </c>
    </row>
    <row r="398" spans="1:4">
      <c r="A398" s="2">
        <f>+'18O filtrado'!C369</f>
        <v>0</v>
      </c>
      <c r="B398" s="2">
        <f>+'18O filtrado'!D369</f>
        <v>0</v>
      </c>
      <c r="C398" s="2">
        <f>+'18O filtrado'!P369</f>
        <v>0</v>
      </c>
      <c r="D398" s="5">
        <f t="shared" si="7"/>
        <v>-1.7937464536986967</v>
      </c>
    </row>
    <row r="399" spans="1:4">
      <c r="A399" s="2">
        <f>+'18O filtrado'!C370</f>
        <v>0</v>
      </c>
      <c r="B399" s="2">
        <f>+'18O filtrado'!D370</f>
        <v>0</v>
      </c>
      <c r="C399" s="2">
        <f>+'18O filtrado'!P370</f>
        <v>0</v>
      </c>
      <c r="D399" s="5">
        <f t="shared" si="7"/>
        <v>-1.7937464536986967</v>
      </c>
    </row>
    <row r="400" spans="1:4">
      <c r="A400" s="2">
        <f>+'18O filtrado'!C371</f>
        <v>0</v>
      </c>
      <c r="B400" s="2">
        <f>+'18O filtrado'!D371</f>
        <v>0</v>
      </c>
      <c r="C400" s="2">
        <f>+'18O filtrado'!P371</f>
        <v>0</v>
      </c>
      <c r="D400" s="5">
        <f t="shared" si="7"/>
        <v>-1.7937464536986967</v>
      </c>
    </row>
    <row r="401" spans="1:4">
      <c r="A401" s="2">
        <f>+'18O filtrado'!C372</f>
        <v>0</v>
      </c>
      <c r="B401" s="2">
        <f>+'18O filtrado'!D372</f>
        <v>0</v>
      </c>
      <c r="C401" s="2">
        <f>+'18O filtrado'!P372</f>
        <v>0</v>
      </c>
      <c r="D401" s="5">
        <f t="shared" si="7"/>
        <v>-1.7937464536986967</v>
      </c>
    </row>
    <row r="402" spans="1:4">
      <c r="A402" s="2">
        <f>+'18O filtrado'!C373</f>
        <v>0</v>
      </c>
      <c r="B402" s="2">
        <f>+'18O filtrado'!D373</f>
        <v>0</v>
      </c>
      <c r="C402" s="2">
        <f>+'18O filtrado'!P373</f>
        <v>0</v>
      </c>
      <c r="D402" s="5">
        <f t="shared" si="7"/>
        <v>-1.7937464536986967</v>
      </c>
    </row>
    <row r="403" spans="1:4">
      <c r="A403" s="2">
        <f>+'18O filtrado'!C374</f>
        <v>0</v>
      </c>
      <c r="B403" s="2">
        <f>+'18O filtrado'!D374</f>
        <v>0</v>
      </c>
      <c r="C403" s="2">
        <f>+'18O filtrado'!P374</f>
        <v>0</v>
      </c>
      <c r="D403" s="5">
        <f t="shared" si="7"/>
        <v>-1.7937464536986967</v>
      </c>
    </row>
    <row r="404" spans="1:4">
      <c r="A404" s="2">
        <f>+'18O filtrado'!C375</f>
        <v>0</v>
      </c>
      <c r="B404" s="2">
        <f>+'18O filtrado'!D375</f>
        <v>0</v>
      </c>
      <c r="C404" s="2">
        <f>+'18O filtrado'!P375</f>
        <v>0</v>
      </c>
      <c r="D404" s="5">
        <f t="shared" si="7"/>
        <v>-1.7937464536986967</v>
      </c>
    </row>
    <row r="405" spans="1:4">
      <c r="A405" s="2">
        <f>+'18O filtrado'!C376</f>
        <v>0</v>
      </c>
      <c r="B405" s="2">
        <f>+'18O filtrado'!D376</f>
        <v>0</v>
      </c>
      <c r="C405" s="2">
        <f>+'18O filtrado'!P376</f>
        <v>0</v>
      </c>
      <c r="D405" s="5">
        <f t="shared" si="7"/>
        <v>-1.7937464536986967</v>
      </c>
    </row>
    <row r="406" spans="1:4">
      <c r="A406" s="2">
        <f>+'18O filtrado'!C377</f>
        <v>0</v>
      </c>
      <c r="B406" s="2">
        <f>+'18O filtrado'!D377</f>
        <v>0</v>
      </c>
      <c r="C406" s="2">
        <f>+'18O filtrado'!P377</f>
        <v>0</v>
      </c>
      <c r="D406" s="5">
        <f t="shared" si="7"/>
        <v>-1.7937464536986967</v>
      </c>
    </row>
    <row r="407" spans="1:4">
      <c r="A407" s="2">
        <f>+'18O filtrado'!C378</f>
        <v>0</v>
      </c>
      <c r="B407" s="2">
        <f>+'18O filtrado'!D378</f>
        <v>0</v>
      </c>
      <c r="C407" s="2">
        <f>+'18O filtrado'!P378</f>
        <v>0</v>
      </c>
      <c r="D407" s="5">
        <f t="shared" si="7"/>
        <v>-1.7937464536986967</v>
      </c>
    </row>
    <row r="408" spans="1:4">
      <c r="A408" s="2">
        <f>+'18O filtrado'!C379</f>
        <v>0</v>
      </c>
      <c r="B408" s="2">
        <f>+'18O filtrado'!D379</f>
        <v>0</v>
      </c>
      <c r="C408" s="2">
        <f>+'18O filtrado'!P379</f>
        <v>0</v>
      </c>
      <c r="D408" s="5">
        <f t="shared" si="7"/>
        <v>-1.7937464536986967</v>
      </c>
    </row>
    <row r="409" spans="1:4">
      <c r="A409" s="2">
        <f>+'18O filtrado'!C380</f>
        <v>0</v>
      </c>
      <c r="B409" s="2">
        <f>+'18O filtrado'!D380</f>
        <v>0</v>
      </c>
      <c r="C409" s="2">
        <f>+'18O filtrado'!P380</f>
        <v>0</v>
      </c>
      <c r="D409" s="5">
        <f t="shared" si="7"/>
        <v>-1.7937464536986967</v>
      </c>
    </row>
    <row r="410" spans="1:4">
      <c r="A410" s="2">
        <f>+'18O filtrado'!C381</f>
        <v>0</v>
      </c>
      <c r="B410" s="2">
        <f>+'18O filtrado'!D381</f>
        <v>0</v>
      </c>
      <c r="C410" s="2">
        <f>+'18O filtrado'!P381</f>
        <v>0</v>
      </c>
      <c r="D410" s="5">
        <f t="shared" si="7"/>
        <v>-1.7937464536986967</v>
      </c>
    </row>
    <row r="411" spans="1:4">
      <c r="A411" s="2">
        <f>+'18O filtrado'!C382</f>
        <v>0</v>
      </c>
      <c r="B411" s="2">
        <f>+'18O filtrado'!D382</f>
        <v>0</v>
      </c>
      <c r="C411" s="2">
        <f>+'18O filtrado'!P382</f>
        <v>0</v>
      </c>
      <c r="D411" s="5">
        <f t="shared" si="7"/>
        <v>-1.7937464536986967</v>
      </c>
    </row>
    <row r="412" spans="1:4">
      <c r="A412" s="2">
        <f>+'18O filtrado'!C383</f>
        <v>0</v>
      </c>
      <c r="B412" s="2">
        <f>+'18O filtrado'!D383</f>
        <v>0</v>
      </c>
      <c r="C412" s="2">
        <f>+'18O filtrado'!P383</f>
        <v>0</v>
      </c>
      <c r="D412" s="5">
        <f t="shared" si="7"/>
        <v>-1.7937464536986967</v>
      </c>
    </row>
    <row r="413" spans="1:4">
      <c r="A413" s="2">
        <f>+'18O filtrado'!C384</f>
        <v>0</v>
      </c>
      <c r="B413" s="2">
        <f>+'18O filtrado'!D384</f>
        <v>0</v>
      </c>
      <c r="C413" s="2">
        <f>+'18O filtrado'!P384</f>
        <v>0</v>
      </c>
      <c r="D413" s="5">
        <f t="shared" si="7"/>
        <v>-1.7937464536986967</v>
      </c>
    </row>
    <row r="414" spans="1:4">
      <c r="A414" s="2">
        <f>+'18O filtrado'!C385</f>
        <v>0</v>
      </c>
      <c r="B414" s="2">
        <f>+'18O filtrado'!D385</f>
        <v>0</v>
      </c>
      <c r="C414" s="2">
        <f>+'18O filtrado'!P385</f>
        <v>0</v>
      </c>
      <c r="D414" s="5">
        <f t="shared" si="7"/>
        <v>-1.7937464536986967</v>
      </c>
    </row>
    <row r="415" spans="1:4">
      <c r="A415" s="2">
        <f>+'18O filtrado'!C386</f>
        <v>0</v>
      </c>
      <c r="B415" s="2">
        <f>+'18O filtrado'!D386</f>
        <v>0</v>
      </c>
      <c r="C415" s="2">
        <f>+'18O filtrado'!P386</f>
        <v>0</v>
      </c>
      <c r="D415" s="5">
        <f t="shared" si="7"/>
        <v>-1.7937464536986967</v>
      </c>
    </row>
    <row r="416" spans="1:4">
      <c r="A416" s="2">
        <f>+'18O filtrado'!C387</f>
        <v>0</v>
      </c>
      <c r="B416" s="2">
        <f>+'18O filtrado'!D387</f>
        <v>0</v>
      </c>
      <c r="C416" s="2">
        <f>+'18O filtrado'!P387</f>
        <v>0</v>
      </c>
      <c r="D416" s="5">
        <f t="shared" ref="D416:D479" si="8">+(C416-$N$22)/$N$21</f>
        <v>-1.7937464536986967</v>
      </c>
    </row>
    <row r="417" spans="1:4">
      <c r="A417" s="2">
        <f>+'18O filtrado'!C388</f>
        <v>0</v>
      </c>
      <c r="B417" s="2">
        <f>+'18O filtrado'!D388</f>
        <v>0</v>
      </c>
      <c r="C417" s="2">
        <f>+'18O filtrado'!P388</f>
        <v>0</v>
      </c>
      <c r="D417" s="5">
        <f t="shared" si="8"/>
        <v>-1.7937464536986967</v>
      </c>
    </row>
    <row r="418" spans="1:4">
      <c r="A418" s="2">
        <f>+'18O filtrado'!C389</f>
        <v>0</v>
      </c>
      <c r="B418" s="2">
        <f>+'18O filtrado'!D389</f>
        <v>0</v>
      </c>
      <c r="C418" s="2">
        <f>+'18O filtrado'!P389</f>
        <v>0</v>
      </c>
      <c r="D418" s="5">
        <f t="shared" si="8"/>
        <v>-1.7937464536986967</v>
      </c>
    </row>
    <row r="419" spans="1:4">
      <c r="A419" s="2">
        <f>+'18O filtrado'!C390</f>
        <v>0</v>
      </c>
      <c r="B419" s="2">
        <f>+'18O filtrado'!D390</f>
        <v>0</v>
      </c>
      <c r="C419" s="2">
        <f>+'18O filtrado'!P390</f>
        <v>0</v>
      </c>
      <c r="D419" s="5">
        <f t="shared" si="8"/>
        <v>-1.7937464536986967</v>
      </c>
    </row>
    <row r="420" spans="1:4">
      <c r="A420" s="2">
        <f>+'18O filtrado'!C391</f>
        <v>0</v>
      </c>
      <c r="B420" s="2">
        <f>+'18O filtrado'!D391</f>
        <v>0</v>
      </c>
      <c r="C420" s="2">
        <f>+'18O filtrado'!P391</f>
        <v>0</v>
      </c>
      <c r="D420" s="5">
        <f t="shared" si="8"/>
        <v>-1.7937464536986967</v>
      </c>
    </row>
    <row r="421" spans="1:4">
      <c r="A421" s="2">
        <f>+'18O filtrado'!C392</f>
        <v>0</v>
      </c>
      <c r="B421" s="2">
        <f>+'18O filtrado'!D392</f>
        <v>0</v>
      </c>
      <c r="C421" s="2">
        <f>+'18O filtrado'!P392</f>
        <v>0</v>
      </c>
      <c r="D421" s="5">
        <f t="shared" si="8"/>
        <v>-1.7937464536986967</v>
      </c>
    </row>
    <row r="422" spans="1:4">
      <c r="A422" s="2">
        <f>+'18O filtrado'!C393</f>
        <v>0</v>
      </c>
      <c r="B422" s="2">
        <f>+'18O filtrado'!D393</f>
        <v>0</v>
      </c>
      <c r="C422" s="2">
        <f>+'18O filtrado'!P393</f>
        <v>0</v>
      </c>
      <c r="D422" s="5">
        <f t="shared" si="8"/>
        <v>-1.7937464536986967</v>
      </c>
    </row>
    <row r="423" spans="1:4">
      <c r="A423" s="2">
        <f>+'18O filtrado'!C394</f>
        <v>0</v>
      </c>
      <c r="B423" s="2">
        <f>+'18O filtrado'!D394</f>
        <v>0</v>
      </c>
      <c r="C423" s="2">
        <f>+'18O filtrado'!P394</f>
        <v>0</v>
      </c>
      <c r="D423" s="5">
        <f t="shared" si="8"/>
        <v>-1.7937464536986967</v>
      </c>
    </row>
    <row r="424" spans="1:4">
      <c r="A424" s="2">
        <f>+'18O filtrado'!C395</f>
        <v>0</v>
      </c>
      <c r="B424" s="2">
        <f>+'18O filtrado'!D395</f>
        <v>0</v>
      </c>
      <c r="C424" s="2">
        <f>+'18O filtrado'!P395</f>
        <v>0</v>
      </c>
      <c r="D424" s="5">
        <f t="shared" si="8"/>
        <v>-1.7937464536986967</v>
      </c>
    </row>
    <row r="425" spans="1:4">
      <c r="A425" s="2">
        <f>+'18O filtrado'!C396</f>
        <v>0</v>
      </c>
      <c r="B425" s="2">
        <f>+'18O filtrado'!D396</f>
        <v>0</v>
      </c>
      <c r="C425" s="2">
        <f>+'18O filtrado'!P396</f>
        <v>0</v>
      </c>
      <c r="D425" s="5">
        <f t="shared" si="8"/>
        <v>-1.7937464536986967</v>
      </c>
    </row>
    <row r="426" spans="1:4">
      <c r="A426" s="2">
        <f>+'18O filtrado'!C397</f>
        <v>0</v>
      </c>
      <c r="B426" s="2">
        <f>+'18O filtrado'!D397</f>
        <v>0</v>
      </c>
      <c r="C426" s="2">
        <f>+'18O filtrado'!P397</f>
        <v>0</v>
      </c>
      <c r="D426" s="5">
        <f t="shared" si="8"/>
        <v>-1.7937464536986967</v>
      </c>
    </row>
    <row r="427" spans="1:4">
      <c r="A427" s="2">
        <f>+'18O filtrado'!C398</f>
        <v>0</v>
      </c>
      <c r="B427" s="2">
        <f>+'18O filtrado'!D398</f>
        <v>0</v>
      </c>
      <c r="C427" s="2">
        <f>+'18O filtrado'!P398</f>
        <v>0</v>
      </c>
      <c r="D427" s="5">
        <f t="shared" si="8"/>
        <v>-1.7937464536986967</v>
      </c>
    </row>
    <row r="428" spans="1:4">
      <c r="A428" s="2">
        <f>+'18O filtrado'!C399</f>
        <v>0</v>
      </c>
      <c r="B428" s="2">
        <f>+'18O filtrado'!D399</f>
        <v>0</v>
      </c>
      <c r="C428" s="2">
        <f>+'18O filtrado'!P399</f>
        <v>0</v>
      </c>
      <c r="D428" s="5">
        <f t="shared" si="8"/>
        <v>-1.7937464536986967</v>
      </c>
    </row>
    <row r="429" spans="1:4">
      <c r="A429" s="2">
        <f>+'18O filtrado'!C400</f>
        <v>0</v>
      </c>
      <c r="B429" s="2">
        <f>+'18O filtrado'!D400</f>
        <v>0</v>
      </c>
      <c r="C429" s="2">
        <f>+'18O filtrado'!P400</f>
        <v>0</v>
      </c>
      <c r="D429" s="5">
        <f t="shared" si="8"/>
        <v>-1.7937464536986967</v>
      </c>
    </row>
    <row r="430" spans="1:4">
      <c r="A430" s="2">
        <f>+'18O filtrado'!C401</f>
        <v>0</v>
      </c>
      <c r="B430" s="2">
        <f>+'18O filtrado'!D401</f>
        <v>0</v>
      </c>
      <c r="C430" s="2">
        <f>+'18O filtrado'!P401</f>
        <v>0</v>
      </c>
      <c r="D430" s="5">
        <f t="shared" si="8"/>
        <v>-1.7937464536986967</v>
      </c>
    </row>
    <row r="431" spans="1:4">
      <c r="A431" s="2">
        <f>+'18O filtrado'!C402</f>
        <v>0</v>
      </c>
      <c r="B431" s="2">
        <f>+'18O filtrado'!D402</f>
        <v>0</v>
      </c>
      <c r="C431" s="2">
        <f>+'18O filtrado'!P402</f>
        <v>0</v>
      </c>
      <c r="D431" s="5">
        <f t="shared" si="8"/>
        <v>-1.7937464536986967</v>
      </c>
    </row>
    <row r="432" spans="1:4">
      <c r="A432" s="2">
        <f>+'18O filtrado'!C403</f>
        <v>0</v>
      </c>
      <c r="B432" s="2">
        <f>+'18O filtrado'!D403</f>
        <v>0</v>
      </c>
      <c r="C432" s="2">
        <f>+'18O filtrado'!P403</f>
        <v>0</v>
      </c>
      <c r="D432" s="5">
        <f t="shared" si="8"/>
        <v>-1.7937464536986967</v>
      </c>
    </row>
    <row r="433" spans="1:4">
      <c r="A433" s="2">
        <f>+'18O filtrado'!C404</f>
        <v>0</v>
      </c>
      <c r="B433" s="2">
        <f>+'18O filtrado'!D404</f>
        <v>0</v>
      </c>
      <c r="C433" s="2">
        <f>+'18O filtrado'!P404</f>
        <v>0</v>
      </c>
      <c r="D433" s="5">
        <f t="shared" si="8"/>
        <v>-1.7937464536986967</v>
      </c>
    </row>
    <row r="434" spans="1:4">
      <c r="A434" s="2">
        <f>+'18O filtrado'!C405</f>
        <v>0</v>
      </c>
      <c r="B434" s="2">
        <f>+'18O filtrado'!D405</f>
        <v>0</v>
      </c>
      <c r="C434" s="2">
        <f>+'18O filtrado'!P405</f>
        <v>0</v>
      </c>
      <c r="D434" s="5">
        <f t="shared" si="8"/>
        <v>-1.7937464536986967</v>
      </c>
    </row>
    <row r="435" spans="1:4">
      <c r="A435" s="2">
        <f>+'18O filtrado'!C406</f>
        <v>0</v>
      </c>
      <c r="B435" s="2">
        <f>+'18O filtrado'!D406</f>
        <v>0</v>
      </c>
      <c r="C435" s="2">
        <f>+'18O filtrado'!P406</f>
        <v>0</v>
      </c>
      <c r="D435" s="5">
        <f t="shared" si="8"/>
        <v>-1.7937464536986967</v>
      </c>
    </row>
    <row r="436" spans="1:4">
      <c r="A436" s="2">
        <f>+'18O filtrado'!C407</f>
        <v>0</v>
      </c>
      <c r="B436" s="2">
        <f>+'18O filtrado'!D407</f>
        <v>0</v>
      </c>
      <c r="C436" s="2">
        <f>+'18O filtrado'!P407</f>
        <v>0</v>
      </c>
      <c r="D436" s="5">
        <f t="shared" si="8"/>
        <v>-1.7937464536986967</v>
      </c>
    </row>
    <row r="437" spans="1:4">
      <c r="A437" s="2">
        <f>+'18O filtrado'!C408</f>
        <v>0</v>
      </c>
      <c r="B437" s="2">
        <f>+'18O filtrado'!D408</f>
        <v>0</v>
      </c>
      <c r="C437" s="2">
        <f>+'18O filtrado'!P408</f>
        <v>0</v>
      </c>
      <c r="D437" s="5">
        <f t="shared" si="8"/>
        <v>-1.7937464536986967</v>
      </c>
    </row>
    <row r="438" spans="1:4">
      <c r="A438" s="2">
        <f>+'18O filtrado'!C409</f>
        <v>0</v>
      </c>
      <c r="B438" s="2">
        <f>+'18O filtrado'!D409</f>
        <v>0</v>
      </c>
      <c r="C438" s="2">
        <f>+'18O filtrado'!P409</f>
        <v>0</v>
      </c>
      <c r="D438" s="5">
        <f t="shared" si="8"/>
        <v>-1.7937464536986967</v>
      </c>
    </row>
    <row r="439" spans="1:4">
      <c r="A439" s="2">
        <f>+'18O filtrado'!C410</f>
        <v>0</v>
      </c>
      <c r="B439" s="2">
        <f>+'18O filtrado'!D410</f>
        <v>0</v>
      </c>
      <c r="C439" s="2">
        <f>+'18O filtrado'!P410</f>
        <v>0</v>
      </c>
      <c r="D439" s="5">
        <f t="shared" si="8"/>
        <v>-1.7937464536986967</v>
      </c>
    </row>
    <row r="440" spans="1:4">
      <c r="A440" s="2">
        <f>+'18O filtrado'!C411</f>
        <v>0</v>
      </c>
      <c r="B440" s="2">
        <f>+'18O filtrado'!D411</f>
        <v>0</v>
      </c>
      <c r="C440" s="2">
        <f>+'18O filtrado'!P411</f>
        <v>0</v>
      </c>
      <c r="D440" s="5">
        <f t="shared" si="8"/>
        <v>-1.7937464536986967</v>
      </c>
    </row>
    <row r="441" spans="1:4">
      <c r="A441" s="2">
        <f>+'18O filtrado'!C412</f>
        <v>0</v>
      </c>
      <c r="B441" s="2">
        <f>+'18O filtrado'!D412</f>
        <v>0</v>
      </c>
      <c r="C441" s="2">
        <f>+'18O filtrado'!P412</f>
        <v>0</v>
      </c>
      <c r="D441" s="5">
        <f t="shared" si="8"/>
        <v>-1.7937464536986967</v>
      </c>
    </row>
    <row r="442" spans="1:4">
      <c r="A442" s="2">
        <f>+'18O filtrado'!C413</f>
        <v>0</v>
      </c>
      <c r="B442" s="2">
        <f>+'18O filtrado'!D413</f>
        <v>0</v>
      </c>
      <c r="C442" s="2">
        <f>+'18O filtrado'!P413</f>
        <v>0</v>
      </c>
      <c r="D442" s="5">
        <f t="shared" si="8"/>
        <v>-1.7937464536986967</v>
      </c>
    </row>
    <row r="443" spans="1:4">
      <c r="A443" s="2">
        <f>+'18O filtrado'!C414</f>
        <v>0</v>
      </c>
      <c r="B443" s="2">
        <f>+'18O filtrado'!D414</f>
        <v>0</v>
      </c>
      <c r="C443" s="2">
        <f>+'18O filtrado'!P414</f>
        <v>0</v>
      </c>
      <c r="D443" s="5">
        <f t="shared" si="8"/>
        <v>-1.7937464536986967</v>
      </c>
    </row>
    <row r="444" spans="1:4">
      <c r="A444" s="2">
        <f>+'18O filtrado'!C415</f>
        <v>0</v>
      </c>
      <c r="B444" s="2">
        <f>+'18O filtrado'!D415</f>
        <v>0</v>
      </c>
      <c r="C444" s="2">
        <f>+'18O filtrado'!P415</f>
        <v>0</v>
      </c>
      <c r="D444" s="5">
        <f t="shared" si="8"/>
        <v>-1.7937464536986967</v>
      </c>
    </row>
    <row r="445" spans="1:4">
      <c r="A445" s="2">
        <f>+'18O filtrado'!C416</f>
        <v>0</v>
      </c>
      <c r="B445" s="2">
        <f>+'18O filtrado'!D416</f>
        <v>0</v>
      </c>
      <c r="C445" s="2">
        <f>+'18O filtrado'!P416</f>
        <v>0</v>
      </c>
      <c r="D445" s="5">
        <f t="shared" si="8"/>
        <v>-1.7937464536986967</v>
      </c>
    </row>
    <row r="446" spans="1:4">
      <c r="A446" s="2">
        <f>+'18O filtrado'!C417</f>
        <v>0</v>
      </c>
      <c r="B446" s="2">
        <f>+'18O filtrado'!D417</f>
        <v>0</v>
      </c>
      <c r="C446" s="2">
        <f>+'18O filtrado'!P417</f>
        <v>0</v>
      </c>
      <c r="D446" s="5">
        <f t="shared" si="8"/>
        <v>-1.7937464536986967</v>
      </c>
    </row>
    <row r="447" spans="1:4">
      <c r="A447" s="2">
        <f>+'18O filtrado'!C418</f>
        <v>0</v>
      </c>
      <c r="B447" s="2">
        <f>+'18O filtrado'!D418</f>
        <v>0</v>
      </c>
      <c r="C447" s="2">
        <f>+'18O filtrado'!P418</f>
        <v>0</v>
      </c>
      <c r="D447" s="5">
        <f t="shared" si="8"/>
        <v>-1.7937464536986967</v>
      </c>
    </row>
    <row r="448" spans="1:4">
      <c r="A448" s="2">
        <f>+'18O filtrado'!C419</f>
        <v>0</v>
      </c>
      <c r="B448" s="2">
        <f>+'18O filtrado'!D419</f>
        <v>0</v>
      </c>
      <c r="C448" s="2">
        <f>+'18O filtrado'!P419</f>
        <v>0</v>
      </c>
      <c r="D448" s="5">
        <f t="shared" si="8"/>
        <v>-1.7937464536986967</v>
      </c>
    </row>
    <row r="449" spans="1:4">
      <c r="A449" s="2">
        <f>+'18O filtrado'!C420</f>
        <v>0</v>
      </c>
      <c r="B449" s="2">
        <f>+'18O filtrado'!D420</f>
        <v>0</v>
      </c>
      <c r="C449" s="2">
        <f>+'18O filtrado'!P420</f>
        <v>0</v>
      </c>
      <c r="D449" s="5">
        <f t="shared" si="8"/>
        <v>-1.7937464536986967</v>
      </c>
    </row>
    <row r="450" spans="1:4">
      <c r="A450" s="2">
        <f>+'18O filtrado'!C421</f>
        <v>0</v>
      </c>
      <c r="B450" s="2">
        <f>+'18O filtrado'!D421</f>
        <v>0</v>
      </c>
      <c r="C450" s="2">
        <f>+'18O filtrado'!P421</f>
        <v>0</v>
      </c>
      <c r="D450" s="5">
        <f t="shared" si="8"/>
        <v>-1.7937464536986967</v>
      </c>
    </row>
    <row r="451" spans="1:4">
      <c r="A451" s="2">
        <f>+'18O filtrado'!C422</f>
        <v>0</v>
      </c>
      <c r="B451" s="2">
        <f>+'18O filtrado'!D422</f>
        <v>0</v>
      </c>
      <c r="C451" s="2">
        <f>+'18O filtrado'!P422</f>
        <v>0</v>
      </c>
      <c r="D451" s="5">
        <f t="shared" si="8"/>
        <v>-1.7937464536986967</v>
      </c>
    </row>
    <row r="452" spans="1:4">
      <c r="A452" s="2">
        <f>+'18O filtrado'!C423</f>
        <v>0</v>
      </c>
      <c r="B452" s="2">
        <f>+'18O filtrado'!D423</f>
        <v>0</v>
      </c>
      <c r="C452" s="2">
        <f>+'18O filtrado'!P423</f>
        <v>0</v>
      </c>
      <c r="D452" s="5">
        <f t="shared" si="8"/>
        <v>-1.7937464536986967</v>
      </c>
    </row>
    <row r="453" spans="1:4">
      <c r="A453" s="2">
        <f>+'18O filtrado'!C424</f>
        <v>0</v>
      </c>
      <c r="B453" s="2">
        <f>+'18O filtrado'!D424</f>
        <v>0</v>
      </c>
      <c r="C453" s="2">
        <f>+'18O filtrado'!P424</f>
        <v>0</v>
      </c>
      <c r="D453" s="5">
        <f t="shared" si="8"/>
        <v>-1.7937464536986967</v>
      </c>
    </row>
    <row r="454" spans="1:4">
      <c r="A454" s="2">
        <f>+'18O filtrado'!C425</f>
        <v>0</v>
      </c>
      <c r="B454" s="2">
        <f>+'18O filtrado'!D425</f>
        <v>0</v>
      </c>
      <c r="C454" s="2">
        <f>+'18O filtrado'!P425</f>
        <v>0</v>
      </c>
      <c r="D454" s="5">
        <f t="shared" si="8"/>
        <v>-1.7937464536986967</v>
      </c>
    </row>
    <row r="455" spans="1:4">
      <c r="A455" s="2">
        <f>+'18O filtrado'!C426</f>
        <v>0</v>
      </c>
      <c r="B455" s="2">
        <f>+'18O filtrado'!D426</f>
        <v>0</v>
      </c>
      <c r="C455" s="2">
        <f>+'18O filtrado'!P426</f>
        <v>0</v>
      </c>
      <c r="D455" s="5">
        <f t="shared" si="8"/>
        <v>-1.7937464536986967</v>
      </c>
    </row>
    <row r="456" spans="1:4">
      <c r="A456" s="2">
        <f>+'18O filtrado'!C427</f>
        <v>0</v>
      </c>
      <c r="B456" s="2">
        <f>+'18O filtrado'!D427</f>
        <v>0</v>
      </c>
      <c r="C456" s="2">
        <f>+'18O filtrado'!P427</f>
        <v>0</v>
      </c>
      <c r="D456" s="5">
        <f t="shared" si="8"/>
        <v>-1.7937464536986967</v>
      </c>
    </row>
    <row r="457" spans="1:4">
      <c r="A457" s="2">
        <f>+'18O filtrado'!C428</f>
        <v>0</v>
      </c>
      <c r="B457" s="2">
        <f>+'18O filtrado'!D428</f>
        <v>0</v>
      </c>
      <c r="C457" s="2">
        <f>+'18O filtrado'!P428</f>
        <v>0</v>
      </c>
      <c r="D457" s="5">
        <f t="shared" si="8"/>
        <v>-1.7937464536986967</v>
      </c>
    </row>
    <row r="458" spans="1:4">
      <c r="A458" s="2">
        <f>+'18O filtrado'!C429</f>
        <v>0</v>
      </c>
      <c r="B458" s="2">
        <f>+'18O filtrado'!D429</f>
        <v>0</v>
      </c>
      <c r="C458" s="2">
        <f>+'18O filtrado'!P429</f>
        <v>0</v>
      </c>
      <c r="D458" s="5">
        <f t="shared" si="8"/>
        <v>-1.7937464536986967</v>
      </c>
    </row>
    <row r="459" spans="1:4">
      <c r="A459" s="2">
        <f>+'18O filtrado'!C430</f>
        <v>0</v>
      </c>
      <c r="B459" s="2">
        <f>+'18O filtrado'!D430</f>
        <v>0</v>
      </c>
      <c r="C459" s="2">
        <f>+'18O filtrado'!P430</f>
        <v>0</v>
      </c>
      <c r="D459" s="5">
        <f t="shared" si="8"/>
        <v>-1.7937464536986967</v>
      </c>
    </row>
    <row r="460" spans="1:4">
      <c r="A460" s="2">
        <f>+'18O filtrado'!C431</f>
        <v>0</v>
      </c>
      <c r="B460" s="2">
        <f>+'18O filtrado'!D431</f>
        <v>0</v>
      </c>
      <c r="C460" s="2">
        <f>+'18O filtrado'!P431</f>
        <v>0</v>
      </c>
      <c r="D460" s="5">
        <f t="shared" si="8"/>
        <v>-1.7937464536986967</v>
      </c>
    </row>
    <row r="461" spans="1:4">
      <c r="A461" s="2">
        <f>+'18O filtrado'!C432</f>
        <v>0</v>
      </c>
      <c r="B461" s="2">
        <f>+'18O filtrado'!D432</f>
        <v>0</v>
      </c>
      <c r="C461" s="2">
        <f>+'18O filtrado'!P432</f>
        <v>0</v>
      </c>
      <c r="D461" s="5">
        <f t="shared" si="8"/>
        <v>-1.7937464536986967</v>
      </c>
    </row>
    <row r="462" spans="1:4">
      <c r="A462" s="2">
        <f>+'18O filtrado'!C433</f>
        <v>0</v>
      </c>
      <c r="B462" s="2">
        <f>+'18O filtrado'!D433</f>
        <v>0</v>
      </c>
      <c r="C462" s="2">
        <f>+'18O filtrado'!P433</f>
        <v>0</v>
      </c>
      <c r="D462" s="5">
        <f t="shared" si="8"/>
        <v>-1.7937464536986967</v>
      </c>
    </row>
    <row r="463" spans="1:4">
      <c r="A463" s="2">
        <f>+'18O filtrado'!C434</f>
        <v>0</v>
      </c>
      <c r="B463" s="2">
        <f>+'18O filtrado'!D434</f>
        <v>0</v>
      </c>
      <c r="C463" s="2">
        <f>+'18O filtrado'!P434</f>
        <v>0</v>
      </c>
      <c r="D463" s="5">
        <f t="shared" si="8"/>
        <v>-1.7937464536986967</v>
      </c>
    </row>
    <row r="464" spans="1:4">
      <c r="A464" s="2">
        <f>+'18O filtrado'!C435</f>
        <v>0</v>
      </c>
      <c r="B464" s="2">
        <f>+'18O filtrado'!D435</f>
        <v>0</v>
      </c>
      <c r="C464" s="2">
        <f>+'18O filtrado'!P435</f>
        <v>0</v>
      </c>
      <c r="D464" s="5">
        <f t="shared" si="8"/>
        <v>-1.7937464536986967</v>
      </c>
    </row>
    <row r="465" spans="1:4">
      <c r="A465" s="2">
        <f>+'18O filtrado'!C436</f>
        <v>0</v>
      </c>
      <c r="B465" s="2">
        <f>+'18O filtrado'!D436</f>
        <v>0</v>
      </c>
      <c r="C465" s="2">
        <f>+'18O filtrado'!P436</f>
        <v>0</v>
      </c>
      <c r="D465" s="5">
        <f t="shared" si="8"/>
        <v>-1.7937464536986967</v>
      </c>
    </row>
    <row r="466" spans="1:4">
      <c r="A466" s="2">
        <f>+'18O filtrado'!C437</f>
        <v>0</v>
      </c>
      <c r="B466" s="2">
        <f>+'18O filtrado'!D437</f>
        <v>0</v>
      </c>
      <c r="C466" s="2">
        <f>+'18O filtrado'!P437</f>
        <v>0</v>
      </c>
      <c r="D466" s="5">
        <f t="shared" si="8"/>
        <v>-1.7937464536986967</v>
      </c>
    </row>
    <row r="467" spans="1:4">
      <c r="A467" s="2">
        <f>+'18O filtrado'!C438</f>
        <v>0</v>
      </c>
      <c r="B467" s="2">
        <f>+'18O filtrado'!D438</f>
        <v>0</v>
      </c>
      <c r="C467" s="2">
        <f>+'18O filtrado'!P438</f>
        <v>0</v>
      </c>
      <c r="D467" s="5">
        <f t="shared" si="8"/>
        <v>-1.7937464536986967</v>
      </c>
    </row>
    <row r="468" spans="1:4">
      <c r="A468" s="2">
        <f>+'18O filtrado'!C439</f>
        <v>0</v>
      </c>
      <c r="B468" s="2">
        <f>+'18O filtrado'!D439</f>
        <v>0</v>
      </c>
      <c r="C468" s="2">
        <f>+'18O filtrado'!P439</f>
        <v>0</v>
      </c>
      <c r="D468" s="5">
        <f t="shared" si="8"/>
        <v>-1.7937464536986967</v>
      </c>
    </row>
    <row r="469" spans="1:4">
      <c r="A469" s="2">
        <f>+'18O filtrado'!C440</f>
        <v>0</v>
      </c>
      <c r="B469" s="2">
        <f>+'18O filtrado'!D440</f>
        <v>0</v>
      </c>
      <c r="C469" s="2">
        <f>+'18O filtrado'!P440</f>
        <v>0</v>
      </c>
      <c r="D469" s="5">
        <f t="shared" si="8"/>
        <v>-1.7937464536986967</v>
      </c>
    </row>
    <row r="470" spans="1:4">
      <c r="A470" s="2">
        <f>+'18O filtrado'!C441</f>
        <v>0</v>
      </c>
      <c r="B470" s="2">
        <f>+'18O filtrado'!D441</f>
        <v>0</v>
      </c>
      <c r="C470" s="2">
        <f>+'18O filtrado'!P441</f>
        <v>0</v>
      </c>
      <c r="D470" s="5">
        <f t="shared" si="8"/>
        <v>-1.7937464536986967</v>
      </c>
    </row>
    <row r="471" spans="1:4">
      <c r="A471" s="2">
        <f>+'18O filtrado'!C442</f>
        <v>0</v>
      </c>
      <c r="B471" s="2">
        <f>+'18O filtrado'!D442</f>
        <v>0</v>
      </c>
      <c r="C471" s="2">
        <f>+'18O filtrado'!P442</f>
        <v>0</v>
      </c>
      <c r="D471" s="5">
        <f t="shared" si="8"/>
        <v>-1.7937464536986967</v>
      </c>
    </row>
    <row r="472" spans="1:4">
      <c r="A472" s="2">
        <f>+'18O filtrado'!C443</f>
        <v>0</v>
      </c>
      <c r="B472" s="2">
        <f>+'18O filtrado'!D443</f>
        <v>0</v>
      </c>
      <c r="C472" s="2">
        <f>+'18O filtrado'!P443</f>
        <v>0</v>
      </c>
      <c r="D472" s="5">
        <f t="shared" si="8"/>
        <v>-1.7937464536986967</v>
      </c>
    </row>
    <row r="473" spans="1:4">
      <c r="A473" s="2">
        <f>+'18O filtrado'!C444</f>
        <v>0</v>
      </c>
      <c r="B473" s="2">
        <f>+'18O filtrado'!D444</f>
        <v>0</v>
      </c>
      <c r="C473" s="2">
        <f>+'18O filtrado'!P444</f>
        <v>0</v>
      </c>
      <c r="D473" s="5">
        <f t="shared" si="8"/>
        <v>-1.7937464536986967</v>
      </c>
    </row>
    <row r="474" spans="1:4">
      <c r="A474" s="2">
        <f>+'18O filtrado'!C445</f>
        <v>0</v>
      </c>
      <c r="B474" s="2">
        <f>+'18O filtrado'!D445</f>
        <v>0</v>
      </c>
      <c r="C474" s="2">
        <f>+'18O filtrado'!P445</f>
        <v>0</v>
      </c>
      <c r="D474" s="5">
        <f t="shared" si="8"/>
        <v>-1.7937464536986967</v>
      </c>
    </row>
    <row r="475" spans="1:4">
      <c r="A475" s="2">
        <f>+'18O filtrado'!C446</f>
        <v>0</v>
      </c>
      <c r="B475" s="2">
        <f>+'18O filtrado'!D446</f>
        <v>0</v>
      </c>
      <c r="C475" s="2">
        <f>+'18O filtrado'!P446</f>
        <v>0</v>
      </c>
      <c r="D475" s="5">
        <f t="shared" si="8"/>
        <v>-1.7937464536986967</v>
      </c>
    </row>
    <row r="476" spans="1:4">
      <c r="A476" s="2">
        <f>+'18O filtrado'!C447</f>
        <v>0</v>
      </c>
      <c r="B476" s="2">
        <f>+'18O filtrado'!D447</f>
        <v>0</v>
      </c>
      <c r="C476" s="2">
        <f>+'18O filtrado'!P447</f>
        <v>0</v>
      </c>
      <c r="D476" s="5">
        <f t="shared" si="8"/>
        <v>-1.7937464536986967</v>
      </c>
    </row>
    <row r="477" spans="1:4">
      <c r="A477" s="2">
        <f>+'18O filtrado'!C448</f>
        <v>0</v>
      </c>
      <c r="B477" s="2">
        <f>+'18O filtrado'!D448</f>
        <v>0</v>
      </c>
      <c r="C477" s="2">
        <f>+'18O filtrado'!P448</f>
        <v>0</v>
      </c>
      <c r="D477" s="5">
        <f t="shared" si="8"/>
        <v>-1.7937464536986967</v>
      </c>
    </row>
    <row r="478" spans="1:4">
      <c r="A478" s="2">
        <f>+'18O filtrado'!C449</f>
        <v>0</v>
      </c>
      <c r="B478" s="2">
        <f>+'18O filtrado'!D449</f>
        <v>0</v>
      </c>
      <c r="C478" s="2">
        <f>+'18O filtrado'!P449</f>
        <v>0</v>
      </c>
      <c r="D478" s="5">
        <f t="shared" si="8"/>
        <v>-1.7937464536986967</v>
      </c>
    </row>
    <row r="479" spans="1:4">
      <c r="A479" s="2">
        <f>+'18O filtrado'!C450</f>
        <v>0</v>
      </c>
      <c r="B479" s="2">
        <f>+'18O filtrado'!D450</f>
        <v>0</v>
      </c>
      <c r="C479" s="2">
        <f>+'18O filtrado'!P450</f>
        <v>0</v>
      </c>
      <c r="D479" s="5">
        <f t="shared" si="8"/>
        <v>-1.7937464536986967</v>
      </c>
    </row>
    <row r="480" spans="1:4">
      <c r="A480" s="2">
        <f>+'18O filtrado'!C451</f>
        <v>0</v>
      </c>
      <c r="B480" s="2">
        <f>+'18O filtrado'!D451</f>
        <v>0</v>
      </c>
      <c r="C480" s="2">
        <f>+'18O filtrado'!P451</f>
        <v>0</v>
      </c>
      <c r="D480" s="5">
        <f t="shared" ref="D480:D543" si="9">+(C480-$N$22)/$N$21</f>
        <v>-1.7937464536986967</v>
      </c>
    </row>
    <row r="481" spans="1:4">
      <c r="A481" s="2">
        <f>+'18O filtrado'!C452</f>
        <v>0</v>
      </c>
      <c r="B481" s="2">
        <f>+'18O filtrado'!D452</f>
        <v>0</v>
      </c>
      <c r="C481" s="2">
        <f>+'18O filtrado'!P452</f>
        <v>0</v>
      </c>
      <c r="D481" s="5">
        <f t="shared" si="9"/>
        <v>-1.7937464536986967</v>
      </c>
    </row>
    <row r="482" spans="1:4">
      <c r="A482" s="2">
        <f>+'18O filtrado'!C453</f>
        <v>0</v>
      </c>
      <c r="B482" s="2">
        <f>+'18O filtrado'!D453</f>
        <v>0</v>
      </c>
      <c r="C482" s="2">
        <f>+'18O filtrado'!P453</f>
        <v>0</v>
      </c>
      <c r="D482" s="5">
        <f t="shared" si="9"/>
        <v>-1.7937464536986967</v>
      </c>
    </row>
    <row r="483" spans="1:4">
      <c r="A483" s="2">
        <f>+'18O filtrado'!C454</f>
        <v>0</v>
      </c>
      <c r="B483" s="2">
        <f>+'18O filtrado'!D454</f>
        <v>0</v>
      </c>
      <c r="C483" s="2">
        <f>+'18O filtrado'!P454</f>
        <v>0</v>
      </c>
      <c r="D483" s="5">
        <f t="shared" si="9"/>
        <v>-1.7937464536986967</v>
      </c>
    </row>
    <row r="484" spans="1:4">
      <c r="A484" s="2">
        <f>+'18O filtrado'!C455</f>
        <v>0</v>
      </c>
      <c r="B484" s="2">
        <f>+'18O filtrado'!D455</f>
        <v>0</v>
      </c>
      <c r="C484" s="2">
        <f>+'18O filtrado'!P455</f>
        <v>0</v>
      </c>
      <c r="D484" s="5">
        <f t="shared" si="9"/>
        <v>-1.7937464536986967</v>
      </c>
    </row>
    <row r="485" spans="1:4">
      <c r="A485" s="2">
        <f>+'18O filtrado'!C456</f>
        <v>0</v>
      </c>
      <c r="B485" s="2">
        <f>+'18O filtrado'!D456</f>
        <v>0</v>
      </c>
      <c r="C485" s="2">
        <f>+'18O filtrado'!P456</f>
        <v>0</v>
      </c>
      <c r="D485" s="5">
        <f t="shared" si="9"/>
        <v>-1.7937464536986967</v>
      </c>
    </row>
    <row r="486" spans="1:4">
      <c r="A486" s="2">
        <f>+'18O filtrado'!C457</f>
        <v>0</v>
      </c>
      <c r="B486" s="2">
        <f>+'18O filtrado'!D457</f>
        <v>0</v>
      </c>
      <c r="C486" s="2">
        <f>+'18O filtrado'!P457</f>
        <v>0</v>
      </c>
      <c r="D486" s="5">
        <f t="shared" si="9"/>
        <v>-1.7937464536986967</v>
      </c>
    </row>
    <row r="487" spans="1:4">
      <c r="A487" s="2">
        <f>+'18O filtrado'!C458</f>
        <v>0</v>
      </c>
      <c r="B487" s="2">
        <f>+'18O filtrado'!D458</f>
        <v>0</v>
      </c>
      <c r="C487" s="2">
        <f>+'18O filtrado'!P458</f>
        <v>0</v>
      </c>
      <c r="D487" s="5">
        <f t="shared" si="9"/>
        <v>-1.7937464536986967</v>
      </c>
    </row>
    <row r="488" spans="1:4">
      <c r="A488" s="2">
        <f>+'18O filtrado'!C459</f>
        <v>0</v>
      </c>
      <c r="B488" s="2">
        <f>+'18O filtrado'!D459</f>
        <v>0</v>
      </c>
      <c r="C488" s="2">
        <f>+'18O filtrado'!P459</f>
        <v>0</v>
      </c>
      <c r="D488" s="5">
        <f t="shared" si="9"/>
        <v>-1.7937464536986967</v>
      </c>
    </row>
    <row r="489" spans="1:4">
      <c r="A489" s="2">
        <f>+'18O filtrado'!C460</f>
        <v>0</v>
      </c>
      <c r="B489" s="2">
        <f>+'18O filtrado'!D460</f>
        <v>0</v>
      </c>
      <c r="C489" s="2">
        <f>+'18O filtrado'!P460</f>
        <v>0</v>
      </c>
      <c r="D489" s="5">
        <f t="shared" si="9"/>
        <v>-1.7937464536986967</v>
      </c>
    </row>
    <row r="490" spans="1:4">
      <c r="A490" s="2">
        <f>+'18O filtrado'!C461</f>
        <v>0</v>
      </c>
      <c r="B490" s="2">
        <f>+'18O filtrado'!D461</f>
        <v>0</v>
      </c>
      <c r="C490" s="2">
        <f>+'18O filtrado'!P461</f>
        <v>0</v>
      </c>
      <c r="D490" s="5">
        <f t="shared" si="9"/>
        <v>-1.7937464536986967</v>
      </c>
    </row>
    <row r="491" spans="1:4">
      <c r="A491" s="2">
        <f>+'18O filtrado'!C462</f>
        <v>0</v>
      </c>
      <c r="B491" s="2">
        <f>+'18O filtrado'!D462</f>
        <v>0</v>
      </c>
      <c r="C491" s="2">
        <f>+'18O filtrado'!P462</f>
        <v>0</v>
      </c>
      <c r="D491" s="5">
        <f t="shared" si="9"/>
        <v>-1.7937464536986967</v>
      </c>
    </row>
    <row r="492" spans="1:4">
      <c r="A492" s="2">
        <f>+'18O filtrado'!C463</f>
        <v>0</v>
      </c>
      <c r="B492" s="2">
        <f>+'18O filtrado'!D463</f>
        <v>0</v>
      </c>
      <c r="C492" s="2">
        <f>+'18O filtrado'!P463</f>
        <v>0</v>
      </c>
      <c r="D492" s="5">
        <f t="shared" si="9"/>
        <v>-1.7937464536986967</v>
      </c>
    </row>
    <row r="493" spans="1:4">
      <c r="A493" s="2">
        <f>+'18O filtrado'!C464</f>
        <v>0</v>
      </c>
      <c r="B493" s="2">
        <f>+'18O filtrado'!D464</f>
        <v>0</v>
      </c>
      <c r="C493" s="2">
        <f>+'18O filtrado'!P464</f>
        <v>0</v>
      </c>
      <c r="D493" s="5">
        <f t="shared" si="9"/>
        <v>-1.7937464536986967</v>
      </c>
    </row>
    <row r="494" spans="1:4">
      <c r="A494" s="2">
        <f>+'18O filtrado'!C465</f>
        <v>0</v>
      </c>
      <c r="B494" s="2">
        <f>+'18O filtrado'!D465</f>
        <v>0</v>
      </c>
      <c r="C494" s="2">
        <f>+'18O filtrado'!P465</f>
        <v>0</v>
      </c>
      <c r="D494" s="5">
        <f t="shared" si="9"/>
        <v>-1.7937464536986967</v>
      </c>
    </row>
    <row r="495" spans="1:4">
      <c r="A495" s="2">
        <f>+'18O filtrado'!C466</f>
        <v>0</v>
      </c>
      <c r="B495" s="2">
        <f>+'18O filtrado'!D466</f>
        <v>0</v>
      </c>
      <c r="C495" s="2">
        <f>+'18O filtrado'!P466</f>
        <v>0</v>
      </c>
      <c r="D495" s="5">
        <f t="shared" si="9"/>
        <v>-1.7937464536986967</v>
      </c>
    </row>
    <row r="496" spans="1:4">
      <c r="A496" s="2">
        <f>+'18O filtrado'!C467</f>
        <v>0</v>
      </c>
      <c r="B496" s="2">
        <f>+'18O filtrado'!D467</f>
        <v>0</v>
      </c>
      <c r="C496" s="2">
        <f>+'18O filtrado'!P467</f>
        <v>0</v>
      </c>
      <c r="D496" s="5">
        <f t="shared" si="9"/>
        <v>-1.7937464536986967</v>
      </c>
    </row>
    <row r="497" spans="1:4">
      <c r="A497" s="2">
        <f>+'18O filtrado'!C468</f>
        <v>0</v>
      </c>
      <c r="B497" s="2">
        <f>+'18O filtrado'!D468</f>
        <v>0</v>
      </c>
      <c r="C497" s="2">
        <f>+'18O filtrado'!P468</f>
        <v>0</v>
      </c>
      <c r="D497" s="5">
        <f t="shared" si="9"/>
        <v>-1.7937464536986967</v>
      </c>
    </row>
    <row r="498" spans="1:4">
      <c r="A498" s="2">
        <f>+'18O filtrado'!C469</f>
        <v>0</v>
      </c>
      <c r="B498" s="2">
        <f>+'18O filtrado'!D469</f>
        <v>0</v>
      </c>
      <c r="C498" s="2">
        <f>+'18O filtrado'!P469</f>
        <v>0</v>
      </c>
      <c r="D498" s="5">
        <f t="shared" si="9"/>
        <v>-1.7937464536986967</v>
      </c>
    </row>
    <row r="499" spans="1:4">
      <c r="A499" s="2">
        <f>+'18O filtrado'!C470</f>
        <v>0</v>
      </c>
      <c r="B499" s="2">
        <f>+'18O filtrado'!D470</f>
        <v>0</v>
      </c>
      <c r="C499" s="2">
        <f>+'18O filtrado'!P470</f>
        <v>0</v>
      </c>
      <c r="D499" s="5">
        <f t="shared" si="9"/>
        <v>-1.7937464536986967</v>
      </c>
    </row>
    <row r="500" spans="1:4">
      <c r="A500" s="2">
        <f>+'18O filtrado'!C471</f>
        <v>0</v>
      </c>
      <c r="B500" s="2">
        <f>+'18O filtrado'!D471</f>
        <v>0</v>
      </c>
      <c r="C500" s="2">
        <f>+'18O filtrado'!P471</f>
        <v>0</v>
      </c>
      <c r="D500" s="5">
        <f t="shared" si="9"/>
        <v>-1.7937464536986967</v>
      </c>
    </row>
    <row r="501" spans="1:4">
      <c r="A501" s="2">
        <f>+'18O filtrado'!C472</f>
        <v>0</v>
      </c>
      <c r="B501" s="2">
        <f>+'18O filtrado'!D472</f>
        <v>0</v>
      </c>
      <c r="C501" s="2">
        <f>+'18O filtrado'!P472</f>
        <v>0</v>
      </c>
      <c r="D501" s="5">
        <f t="shared" si="9"/>
        <v>-1.7937464536986967</v>
      </c>
    </row>
    <row r="502" spans="1:4">
      <c r="A502" s="2">
        <f>+'18O filtrado'!C473</f>
        <v>0</v>
      </c>
      <c r="B502" s="2">
        <f>+'18O filtrado'!D473</f>
        <v>0</v>
      </c>
      <c r="C502" s="2">
        <f>+'18O filtrado'!P473</f>
        <v>0</v>
      </c>
      <c r="D502" s="5">
        <f t="shared" si="9"/>
        <v>-1.7937464536986967</v>
      </c>
    </row>
    <row r="503" spans="1:4">
      <c r="A503" s="2">
        <f>+'18O filtrado'!C474</f>
        <v>0</v>
      </c>
      <c r="B503" s="2">
        <f>+'18O filtrado'!D474</f>
        <v>0</v>
      </c>
      <c r="C503" s="2">
        <f>+'18O filtrado'!P474</f>
        <v>0</v>
      </c>
      <c r="D503" s="5">
        <f t="shared" si="9"/>
        <v>-1.7937464536986967</v>
      </c>
    </row>
    <row r="504" spans="1:4">
      <c r="A504" s="2">
        <f>+'18O filtrado'!C475</f>
        <v>0</v>
      </c>
      <c r="B504" s="2">
        <f>+'18O filtrado'!D475</f>
        <v>0</v>
      </c>
      <c r="C504" s="2">
        <f>+'18O filtrado'!P475</f>
        <v>0</v>
      </c>
      <c r="D504" s="5">
        <f t="shared" si="9"/>
        <v>-1.7937464536986967</v>
      </c>
    </row>
    <row r="505" spans="1:4">
      <c r="A505" s="2">
        <f>+'18O filtrado'!C476</f>
        <v>0</v>
      </c>
      <c r="B505" s="2">
        <f>+'18O filtrado'!D476</f>
        <v>0</v>
      </c>
      <c r="C505" s="2">
        <f>+'18O filtrado'!P476</f>
        <v>0</v>
      </c>
      <c r="D505" s="5">
        <f t="shared" si="9"/>
        <v>-1.7937464536986967</v>
      </c>
    </row>
    <row r="506" spans="1:4">
      <c r="A506" s="2">
        <f>+'18O filtrado'!C477</f>
        <v>0</v>
      </c>
      <c r="B506" s="2">
        <f>+'18O filtrado'!D477</f>
        <v>0</v>
      </c>
      <c r="C506" s="2">
        <f>+'18O filtrado'!P477</f>
        <v>0</v>
      </c>
      <c r="D506" s="5">
        <f t="shared" si="9"/>
        <v>-1.7937464536986967</v>
      </c>
    </row>
    <row r="507" spans="1:4">
      <c r="A507" s="2">
        <f>+'18O filtrado'!C478</f>
        <v>0</v>
      </c>
      <c r="B507" s="2">
        <f>+'18O filtrado'!D478</f>
        <v>0</v>
      </c>
      <c r="C507" s="2">
        <f>+'18O filtrado'!P478</f>
        <v>0</v>
      </c>
      <c r="D507" s="5">
        <f t="shared" si="9"/>
        <v>-1.7937464536986967</v>
      </c>
    </row>
    <row r="508" spans="1:4">
      <c r="A508" s="2">
        <f>+'18O filtrado'!C479</f>
        <v>0</v>
      </c>
      <c r="B508" s="2">
        <f>+'18O filtrado'!D479</f>
        <v>0</v>
      </c>
      <c r="C508" s="2">
        <f>+'18O filtrado'!P479</f>
        <v>0</v>
      </c>
      <c r="D508" s="5">
        <f t="shared" si="9"/>
        <v>-1.7937464536986967</v>
      </c>
    </row>
    <row r="509" spans="1:4">
      <c r="A509" s="2">
        <f>+'18O filtrado'!C480</f>
        <v>0</v>
      </c>
      <c r="B509" s="2">
        <f>+'18O filtrado'!D480</f>
        <v>0</v>
      </c>
      <c r="C509" s="2">
        <f>+'18O filtrado'!P480</f>
        <v>0</v>
      </c>
      <c r="D509" s="5">
        <f t="shared" si="9"/>
        <v>-1.7937464536986967</v>
      </c>
    </row>
    <row r="510" spans="1:4">
      <c r="A510" s="2">
        <f>+'18O filtrado'!C481</f>
        <v>0</v>
      </c>
      <c r="B510" s="2">
        <f>+'18O filtrado'!D481</f>
        <v>0</v>
      </c>
      <c r="C510" s="2">
        <f>+'18O filtrado'!P481</f>
        <v>0</v>
      </c>
      <c r="D510" s="5">
        <f t="shared" si="9"/>
        <v>-1.7937464536986967</v>
      </c>
    </row>
    <row r="511" spans="1:4">
      <c r="A511" s="2">
        <f>+'18O filtrado'!C482</f>
        <v>0</v>
      </c>
      <c r="B511" s="2">
        <f>+'18O filtrado'!D482</f>
        <v>0</v>
      </c>
      <c r="C511" s="2">
        <f>+'18O filtrado'!P482</f>
        <v>0</v>
      </c>
      <c r="D511" s="5">
        <f t="shared" si="9"/>
        <v>-1.7937464536986967</v>
      </c>
    </row>
    <row r="512" spans="1:4">
      <c r="A512" s="2">
        <f>+'18O filtrado'!C483</f>
        <v>0</v>
      </c>
      <c r="B512" s="2">
        <f>+'18O filtrado'!D483</f>
        <v>0</v>
      </c>
      <c r="C512" s="2">
        <f>+'18O filtrado'!P483</f>
        <v>0</v>
      </c>
      <c r="D512" s="5">
        <f t="shared" si="9"/>
        <v>-1.7937464536986967</v>
      </c>
    </row>
    <row r="513" spans="1:4">
      <c r="A513" s="2">
        <f>+'18O filtrado'!C484</f>
        <v>0</v>
      </c>
      <c r="B513" s="2">
        <f>+'18O filtrado'!D484</f>
        <v>0</v>
      </c>
      <c r="C513" s="2">
        <f>+'18O filtrado'!P484</f>
        <v>0</v>
      </c>
      <c r="D513" s="5">
        <f t="shared" si="9"/>
        <v>-1.7937464536986967</v>
      </c>
    </row>
    <row r="514" spans="1:4">
      <c r="A514" s="2">
        <f>+'18O filtrado'!C485</f>
        <v>0</v>
      </c>
      <c r="B514" s="2">
        <f>+'18O filtrado'!D485</f>
        <v>0</v>
      </c>
      <c r="C514" s="2">
        <f>+'18O filtrado'!P485</f>
        <v>0</v>
      </c>
      <c r="D514" s="5">
        <f t="shared" si="9"/>
        <v>-1.7937464536986967</v>
      </c>
    </row>
    <row r="515" spans="1:4">
      <c r="A515" s="2">
        <f>+'18O filtrado'!C486</f>
        <v>0</v>
      </c>
      <c r="B515" s="2">
        <f>+'18O filtrado'!D486</f>
        <v>0</v>
      </c>
      <c r="C515" s="2">
        <f>+'18O filtrado'!P486</f>
        <v>0</v>
      </c>
      <c r="D515" s="5">
        <f t="shared" si="9"/>
        <v>-1.7937464536986967</v>
      </c>
    </row>
    <row r="516" spans="1:4">
      <c r="A516" s="2">
        <f>+'18O filtrado'!C487</f>
        <v>0</v>
      </c>
      <c r="B516" s="2">
        <f>+'18O filtrado'!D487</f>
        <v>0</v>
      </c>
      <c r="C516" s="2">
        <f>+'18O filtrado'!P487</f>
        <v>0</v>
      </c>
      <c r="D516" s="5">
        <f t="shared" si="9"/>
        <v>-1.7937464536986967</v>
      </c>
    </row>
    <row r="517" spans="1:4">
      <c r="A517" s="2">
        <f>+'18O filtrado'!C488</f>
        <v>0</v>
      </c>
      <c r="B517" s="2">
        <f>+'18O filtrado'!D488</f>
        <v>0</v>
      </c>
      <c r="C517" s="2">
        <f>+'18O filtrado'!P488</f>
        <v>0</v>
      </c>
      <c r="D517" s="5">
        <f t="shared" si="9"/>
        <v>-1.7937464536986967</v>
      </c>
    </row>
    <row r="518" spans="1:4">
      <c r="A518" s="2">
        <f>+'18O filtrado'!C489</f>
        <v>0</v>
      </c>
      <c r="B518" s="2">
        <f>+'18O filtrado'!D489</f>
        <v>0</v>
      </c>
      <c r="C518" s="2">
        <f>+'18O filtrado'!P489</f>
        <v>0</v>
      </c>
      <c r="D518" s="5">
        <f t="shared" si="9"/>
        <v>-1.7937464536986967</v>
      </c>
    </row>
    <row r="519" spans="1:4">
      <c r="A519" s="2">
        <f>+'18O filtrado'!C490</f>
        <v>0</v>
      </c>
      <c r="B519" s="2">
        <f>+'18O filtrado'!D490</f>
        <v>0</v>
      </c>
      <c r="C519" s="2">
        <f>+'18O filtrado'!P490</f>
        <v>0</v>
      </c>
      <c r="D519" s="5">
        <f t="shared" si="9"/>
        <v>-1.7937464536986967</v>
      </c>
    </row>
    <row r="520" spans="1:4">
      <c r="A520" s="2">
        <f>+'18O filtrado'!C491</f>
        <v>0</v>
      </c>
      <c r="B520" s="2">
        <f>+'18O filtrado'!D491</f>
        <v>0</v>
      </c>
      <c r="C520" s="2">
        <f>+'18O filtrado'!P491</f>
        <v>0</v>
      </c>
      <c r="D520" s="5">
        <f t="shared" si="9"/>
        <v>-1.7937464536986967</v>
      </c>
    </row>
    <row r="521" spans="1:4">
      <c r="A521" s="2">
        <f>+'18O filtrado'!C492</f>
        <v>0</v>
      </c>
      <c r="B521" s="2">
        <f>+'18O filtrado'!D492</f>
        <v>0</v>
      </c>
      <c r="C521" s="2">
        <f>+'18O filtrado'!P492</f>
        <v>0</v>
      </c>
      <c r="D521" s="5">
        <f t="shared" si="9"/>
        <v>-1.7937464536986967</v>
      </c>
    </row>
    <row r="522" spans="1:4">
      <c r="A522" s="2">
        <f>+'18O filtrado'!C493</f>
        <v>0</v>
      </c>
      <c r="B522" s="2">
        <f>+'18O filtrado'!D493</f>
        <v>0</v>
      </c>
      <c r="C522" s="2">
        <f>+'18O filtrado'!P493</f>
        <v>0</v>
      </c>
      <c r="D522" s="5">
        <f t="shared" si="9"/>
        <v>-1.7937464536986967</v>
      </c>
    </row>
    <row r="523" spans="1:4">
      <c r="A523" s="2">
        <f>+'18O filtrado'!C494</f>
        <v>0</v>
      </c>
      <c r="B523" s="2">
        <f>+'18O filtrado'!D494</f>
        <v>0</v>
      </c>
      <c r="C523" s="2">
        <f>+'18O filtrado'!P494</f>
        <v>0</v>
      </c>
      <c r="D523" s="5">
        <f t="shared" si="9"/>
        <v>-1.7937464536986967</v>
      </c>
    </row>
    <row r="524" spans="1:4">
      <c r="A524" s="2">
        <f>+'18O filtrado'!C495</f>
        <v>0</v>
      </c>
      <c r="B524" s="2">
        <f>+'18O filtrado'!D495</f>
        <v>0</v>
      </c>
      <c r="C524" s="2">
        <f>+'18O filtrado'!P495</f>
        <v>0</v>
      </c>
      <c r="D524" s="5">
        <f t="shared" si="9"/>
        <v>-1.7937464536986967</v>
      </c>
    </row>
    <row r="525" spans="1:4">
      <c r="A525" s="2">
        <f>+'18O filtrado'!C496</f>
        <v>0</v>
      </c>
      <c r="B525" s="2">
        <f>+'18O filtrado'!D496</f>
        <v>0</v>
      </c>
      <c r="C525" s="2">
        <f>+'18O filtrado'!P496</f>
        <v>0</v>
      </c>
      <c r="D525" s="5">
        <f t="shared" si="9"/>
        <v>-1.7937464536986967</v>
      </c>
    </row>
    <row r="526" spans="1:4">
      <c r="A526" s="2">
        <f>+'18O filtrado'!C497</f>
        <v>0</v>
      </c>
      <c r="B526" s="2">
        <f>+'18O filtrado'!D497</f>
        <v>0</v>
      </c>
      <c r="C526" s="2">
        <f>+'18O filtrado'!P497</f>
        <v>0</v>
      </c>
      <c r="D526" s="5">
        <f t="shared" si="9"/>
        <v>-1.7937464536986967</v>
      </c>
    </row>
    <row r="527" spans="1:4">
      <c r="A527" s="2">
        <f>+'18O filtrado'!C498</f>
        <v>0</v>
      </c>
      <c r="B527" s="2">
        <f>+'18O filtrado'!D498</f>
        <v>0</v>
      </c>
      <c r="C527" s="2">
        <f>+'18O filtrado'!P498</f>
        <v>0</v>
      </c>
      <c r="D527" s="5">
        <f t="shared" si="9"/>
        <v>-1.7937464536986967</v>
      </c>
    </row>
    <row r="528" spans="1:4">
      <c r="A528" s="2">
        <f>+'18O filtrado'!C499</f>
        <v>0</v>
      </c>
      <c r="B528" s="2">
        <f>+'18O filtrado'!D499</f>
        <v>0</v>
      </c>
      <c r="C528" s="2">
        <f>+'18O filtrado'!P499</f>
        <v>0</v>
      </c>
      <c r="D528" s="5">
        <f t="shared" si="9"/>
        <v>-1.7937464536986967</v>
      </c>
    </row>
    <row r="529" spans="1:4">
      <c r="A529" s="2">
        <f>+'18O filtrado'!C500</f>
        <v>0</v>
      </c>
      <c r="B529" s="2">
        <f>+'18O filtrado'!D500</f>
        <v>0</v>
      </c>
      <c r="C529" s="2">
        <f>+'18O filtrado'!P500</f>
        <v>0</v>
      </c>
      <c r="D529" s="5">
        <f t="shared" si="9"/>
        <v>-1.7937464536986967</v>
      </c>
    </row>
    <row r="530" spans="1:4">
      <c r="A530" s="2">
        <f>+'18O filtrado'!C501</f>
        <v>0</v>
      </c>
      <c r="B530" s="2">
        <f>+'18O filtrado'!D501</f>
        <v>0</v>
      </c>
      <c r="C530" s="2">
        <f>+'18O filtrado'!P501</f>
        <v>0</v>
      </c>
      <c r="D530" s="5">
        <f t="shared" si="9"/>
        <v>-1.7937464536986967</v>
      </c>
    </row>
    <row r="531" spans="1:4">
      <c r="A531" s="2">
        <f>+'18O filtrado'!C502</f>
        <v>0</v>
      </c>
      <c r="B531" s="2">
        <f>+'18O filtrado'!D502</f>
        <v>0</v>
      </c>
      <c r="C531" s="2">
        <f>+'18O filtrado'!P502</f>
        <v>0</v>
      </c>
      <c r="D531" s="5">
        <f t="shared" si="9"/>
        <v>-1.7937464536986967</v>
      </c>
    </row>
    <row r="532" spans="1:4">
      <c r="A532" s="2">
        <f>+'18O filtrado'!C503</f>
        <v>0</v>
      </c>
      <c r="B532" s="2">
        <f>+'18O filtrado'!D503</f>
        <v>0</v>
      </c>
      <c r="C532" s="2">
        <f>+'18O filtrado'!P503</f>
        <v>0</v>
      </c>
      <c r="D532" s="5">
        <f t="shared" si="9"/>
        <v>-1.7937464536986967</v>
      </c>
    </row>
    <row r="533" spans="1:4">
      <c r="A533" s="2">
        <f>+'18O filtrado'!C504</f>
        <v>0</v>
      </c>
      <c r="B533" s="2">
        <f>+'18O filtrado'!D504</f>
        <v>0</v>
      </c>
      <c r="C533" s="2">
        <f>+'18O filtrado'!P504</f>
        <v>0</v>
      </c>
      <c r="D533" s="5">
        <f t="shared" si="9"/>
        <v>-1.7937464536986967</v>
      </c>
    </row>
    <row r="534" spans="1:4">
      <c r="A534" s="2">
        <f>+'18O filtrado'!C505</f>
        <v>0</v>
      </c>
      <c r="B534" s="2">
        <f>+'18O filtrado'!D505</f>
        <v>0</v>
      </c>
      <c r="C534" s="2">
        <f>+'18O filtrado'!P505</f>
        <v>0</v>
      </c>
      <c r="D534" s="5">
        <f t="shared" si="9"/>
        <v>-1.7937464536986967</v>
      </c>
    </row>
    <row r="535" spans="1:4">
      <c r="A535" s="2">
        <f>+'18O filtrado'!C506</f>
        <v>0</v>
      </c>
      <c r="B535" s="2">
        <f>+'18O filtrado'!D506</f>
        <v>0</v>
      </c>
      <c r="C535" s="2">
        <f>+'18O filtrado'!P506</f>
        <v>0</v>
      </c>
      <c r="D535" s="5">
        <f t="shared" si="9"/>
        <v>-1.7937464536986967</v>
      </c>
    </row>
    <row r="536" spans="1:4">
      <c r="A536" s="2">
        <f>+'18O filtrado'!C507</f>
        <v>0</v>
      </c>
      <c r="B536" s="2">
        <f>+'18O filtrado'!D507</f>
        <v>0</v>
      </c>
      <c r="C536" s="2">
        <f>+'18O filtrado'!P507</f>
        <v>0</v>
      </c>
      <c r="D536" s="5">
        <f t="shared" si="9"/>
        <v>-1.7937464536986967</v>
      </c>
    </row>
    <row r="537" spans="1:4">
      <c r="A537" s="2">
        <f>+'18O filtrado'!C508</f>
        <v>0</v>
      </c>
      <c r="B537" s="2">
        <f>+'18O filtrado'!D508</f>
        <v>0</v>
      </c>
      <c r="C537" s="2">
        <f>+'18O filtrado'!P508</f>
        <v>0</v>
      </c>
      <c r="D537" s="5">
        <f t="shared" si="9"/>
        <v>-1.7937464536986967</v>
      </c>
    </row>
    <row r="538" spans="1:4">
      <c r="A538" s="2">
        <f>+'18O filtrado'!C509</f>
        <v>0</v>
      </c>
      <c r="B538" s="2">
        <f>+'18O filtrado'!D509</f>
        <v>0</v>
      </c>
      <c r="C538" s="2">
        <f>+'18O filtrado'!P509</f>
        <v>0</v>
      </c>
      <c r="D538" s="5">
        <f t="shared" si="9"/>
        <v>-1.7937464536986967</v>
      </c>
    </row>
    <row r="539" spans="1:4">
      <c r="A539" s="2">
        <f>+'18O filtrado'!C510</f>
        <v>0</v>
      </c>
      <c r="B539" s="2">
        <f>+'18O filtrado'!D510</f>
        <v>0</v>
      </c>
      <c r="C539" s="2">
        <f>+'18O filtrado'!P510</f>
        <v>0</v>
      </c>
      <c r="D539" s="5">
        <f t="shared" si="9"/>
        <v>-1.7937464536986967</v>
      </c>
    </row>
    <row r="540" spans="1:4">
      <c r="A540" s="2">
        <f>+'18O filtrado'!C511</f>
        <v>0</v>
      </c>
      <c r="B540" s="2">
        <f>+'18O filtrado'!D511</f>
        <v>0</v>
      </c>
      <c r="C540" s="2">
        <f>+'18O filtrado'!P511</f>
        <v>0</v>
      </c>
      <c r="D540" s="5">
        <f t="shared" si="9"/>
        <v>-1.7937464536986967</v>
      </c>
    </row>
    <row r="541" spans="1:4">
      <c r="A541" s="2">
        <f>+'18O filtrado'!C512</f>
        <v>0</v>
      </c>
      <c r="B541" s="2">
        <f>+'18O filtrado'!D512</f>
        <v>0</v>
      </c>
      <c r="C541" s="2">
        <f>+'18O filtrado'!P512</f>
        <v>0</v>
      </c>
      <c r="D541" s="5">
        <f t="shared" si="9"/>
        <v>-1.7937464536986967</v>
      </c>
    </row>
    <row r="542" spans="1:4">
      <c r="A542" s="2">
        <f>+'18O filtrado'!C513</f>
        <v>0</v>
      </c>
      <c r="B542" s="2">
        <f>+'18O filtrado'!D513</f>
        <v>0</v>
      </c>
      <c r="C542" s="2">
        <f>+'18O filtrado'!P513</f>
        <v>0</v>
      </c>
      <c r="D542" s="5">
        <f t="shared" si="9"/>
        <v>-1.7937464536986967</v>
      </c>
    </row>
    <row r="543" spans="1:4">
      <c r="A543" s="2">
        <f>+'18O filtrado'!C514</f>
        <v>0</v>
      </c>
      <c r="B543" s="2">
        <f>+'18O filtrado'!D514</f>
        <v>0</v>
      </c>
      <c r="C543" s="2">
        <f>+'18O filtrado'!P514</f>
        <v>0</v>
      </c>
      <c r="D543" s="5">
        <f t="shared" si="9"/>
        <v>-1.7937464536986967</v>
      </c>
    </row>
    <row r="544" spans="1:4">
      <c r="A544" s="2">
        <f>+'18O filtrado'!C515</f>
        <v>0</v>
      </c>
      <c r="B544" s="2">
        <f>+'18O filtrado'!D515</f>
        <v>0</v>
      </c>
      <c r="C544" s="2">
        <f>+'18O filtrado'!P515</f>
        <v>0</v>
      </c>
      <c r="D544" s="5">
        <f t="shared" ref="D544:D607" si="10">+(C544-$N$22)/$N$21</f>
        <v>-1.7937464536986967</v>
      </c>
    </row>
    <row r="545" spans="1:4">
      <c r="A545" s="2">
        <f>+'18O filtrado'!C516</f>
        <v>0</v>
      </c>
      <c r="B545" s="2">
        <f>+'18O filtrado'!D516</f>
        <v>0</v>
      </c>
      <c r="C545" s="2">
        <f>+'18O filtrado'!P516</f>
        <v>0</v>
      </c>
      <c r="D545" s="5">
        <f t="shared" si="10"/>
        <v>-1.7937464536986967</v>
      </c>
    </row>
    <row r="546" spans="1:4">
      <c r="A546" s="2">
        <f>+'18O filtrado'!C517</f>
        <v>0</v>
      </c>
      <c r="B546" s="2">
        <f>+'18O filtrado'!D517</f>
        <v>0</v>
      </c>
      <c r="C546" s="2">
        <f>+'18O filtrado'!P517</f>
        <v>0</v>
      </c>
      <c r="D546" s="5">
        <f t="shared" si="10"/>
        <v>-1.7937464536986967</v>
      </c>
    </row>
    <row r="547" spans="1:4">
      <c r="A547" s="2">
        <f>+'18O filtrado'!C518</f>
        <v>0</v>
      </c>
      <c r="B547" s="2">
        <f>+'18O filtrado'!D518</f>
        <v>0</v>
      </c>
      <c r="C547" s="2">
        <f>+'18O filtrado'!P518</f>
        <v>0</v>
      </c>
      <c r="D547" s="5">
        <f t="shared" si="10"/>
        <v>-1.7937464536986967</v>
      </c>
    </row>
    <row r="548" spans="1:4">
      <c r="A548" s="2">
        <f>+'18O filtrado'!C519</f>
        <v>0</v>
      </c>
      <c r="B548" s="2">
        <f>+'18O filtrado'!D519</f>
        <v>0</v>
      </c>
      <c r="C548" s="2">
        <f>+'18O filtrado'!P519</f>
        <v>0</v>
      </c>
      <c r="D548" s="5">
        <f t="shared" si="10"/>
        <v>-1.7937464536986967</v>
      </c>
    </row>
    <row r="549" spans="1:4">
      <c r="A549" s="2">
        <f>+'18O filtrado'!C520</f>
        <v>0</v>
      </c>
      <c r="B549" s="2">
        <f>+'18O filtrado'!D520</f>
        <v>0</v>
      </c>
      <c r="C549" s="2">
        <f>+'18O filtrado'!P520</f>
        <v>0</v>
      </c>
      <c r="D549" s="5">
        <f t="shared" si="10"/>
        <v>-1.7937464536986967</v>
      </c>
    </row>
    <row r="550" spans="1:4">
      <c r="A550" s="2">
        <f>+'18O filtrado'!C521</f>
        <v>0</v>
      </c>
      <c r="B550" s="2">
        <f>+'18O filtrado'!D521</f>
        <v>0</v>
      </c>
      <c r="C550" s="2">
        <f>+'18O filtrado'!P521</f>
        <v>0</v>
      </c>
      <c r="D550" s="5">
        <f t="shared" si="10"/>
        <v>-1.7937464536986967</v>
      </c>
    </row>
    <row r="551" spans="1:4">
      <c r="A551" s="2">
        <f>+'18O filtrado'!C522</f>
        <v>0</v>
      </c>
      <c r="B551" s="2">
        <f>+'18O filtrado'!D522</f>
        <v>0</v>
      </c>
      <c r="C551" s="2">
        <f>+'18O filtrado'!P522</f>
        <v>0</v>
      </c>
      <c r="D551" s="5">
        <f t="shared" si="10"/>
        <v>-1.7937464536986967</v>
      </c>
    </row>
    <row r="552" spans="1:4">
      <c r="A552" s="2">
        <f>+'18O filtrado'!C523</f>
        <v>0</v>
      </c>
      <c r="B552" s="2">
        <f>+'18O filtrado'!D523</f>
        <v>0</v>
      </c>
      <c r="C552" s="2">
        <f>+'18O filtrado'!P523</f>
        <v>0</v>
      </c>
      <c r="D552" s="5">
        <f t="shared" si="10"/>
        <v>-1.7937464536986967</v>
      </c>
    </row>
    <row r="553" spans="1:4">
      <c r="A553" s="2">
        <f>+'18O filtrado'!C524</f>
        <v>0</v>
      </c>
      <c r="B553" s="2">
        <f>+'18O filtrado'!D524</f>
        <v>0</v>
      </c>
      <c r="C553" s="2">
        <f>+'18O filtrado'!P524</f>
        <v>0</v>
      </c>
      <c r="D553" s="5">
        <f t="shared" si="10"/>
        <v>-1.7937464536986967</v>
      </c>
    </row>
    <row r="554" spans="1:4">
      <c r="A554" s="2">
        <f>+'18O filtrado'!C525</f>
        <v>0</v>
      </c>
      <c r="B554" s="2">
        <f>+'18O filtrado'!D525</f>
        <v>0</v>
      </c>
      <c r="C554" s="2">
        <f>+'18O filtrado'!P525</f>
        <v>0</v>
      </c>
      <c r="D554" s="5">
        <f t="shared" si="10"/>
        <v>-1.7937464536986967</v>
      </c>
    </row>
    <row r="555" spans="1:4">
      <c r="A555" s="2">
        <f>+'18O filtrado'!C526</f>
        <v>0</v>
      </c>
      <c r="B555" s="2">
        <f>+'18O filtrado'!D526</f>
        <v>0</v>
      </c>
      <c r="C555" s="2">
        <f>+'18O filtrado'!P526</f>
        <v>0</v>
      </c>
      <c r="D555" s="5">
        <f t="shared" si="10"/>
        <v>-1.7937464536986967</v>
      </c>
    </row>
    <row r="556" spans="1:4">
      <c r="A556" s="2">
        <f>+'18O filtrado'!C527</f>
        <v>0</v>
      </c>
      <c r="B556" s="2">
        <f>+'18O filtrado'!D527</f>
        <v>0</v>
      </c>
      <c r="C556" s="2">
        <f>+'18O filtrado'!P527</f>
        <v>0</v>
      </c>
      <c r="D556" s="5">
        <f t="shared" si="10"/>
        <v>-1.7937464536986967</v>
      </c>
    </row>
    <row r="557" spans="1:4">
      <c r="A557" s="2">
        <f>+'18O filtrado'!C528</f>
        <v>0</v>
      </c>
      <c r="B557" s="2">
        <f>+'18O filtrado'!D528</f>
        <v>0</v>
      </c>
      <c r="C557" s="2">
        <f>+'18O filtrado'!P528</f>
        <v>0</v>
      </c>
      <c r="D557" s="5">
        <f t="shared" si="10"/>
        <v>-1.7937464536986967</v>
      </c>
    </row>
    <row r="558" spans="1:4">
      <c r="A558" s="2">
        <f>+'18O filtrado'!C529</f>
        <v>0</v>
      </c>
      <c r="B558" s="2">
        <f>+'18O filtrado'!D529</f>
        <v>0</v>
      </c>
      <c r="C558" s="2">
        <f>+'18O filtrado'!P529</f>
        <v>0</v>
      </c>
      <c r="D558" s="5">
        <f t="shared" si="10"/>
        <v>-1.7937464536986967</v>
      </c>
    </row>
    <row r="559" spans="1:4">
      <c r="A559" s="2">
        <f>+'18O filtrado'!C530</f>
        <v>0</v>
      </c>
      <c r="B559" s="2">
        <f>+'18O filtrado'!D530</f>
        <v>0</v>
      </c>
      <c r="C559" s="2">
        <f>+'18O filtrado'!P530</f>
        <v>0</v>
      </c>
      <c r="D559" s="5">
        <f t="shared" si="10"/>
        <v>-1.7937464536986967</v>
      </c>
    </row>
    <row r="560" spans="1:4">
      <c r="A560" s="2">
        <f>+'18O filtrado'!C531</f>
        <v>0</v>
      </c>
      <c r="B560" s="2">
        <f>+'18O filtrado'!D531</f>
        <v>0</v>
      </c>
      <c r="C560" s="2">
        <f>+'18O filtrado'!P531</f>
        <v>0</v>
      </c>
      <c r="D560" s="5">
        <f t="shared" si="10"/>
        <v>-1.7937464536986967</v>
      </c>
    </row>
    <row r="561" spans="1:4">
      <c r="A561" s="2">
        <f>+'18O filtrado'!C532</f>
        <v>0</v>
      </c>
      <c r="B561" s="2">
        <f>+'18O filtrado'!D532</f>
        <v>0</v>
      </c>
      <c r="C561" s="2">
        <f>+'18O filtrado'!P532</f>
        <v>0</v>
      </c>
      <c r="D561" s="5">
        <f t="shared" si="10"/>
        <v>-1.7937464536986967</v>
      </c>
    </row>
    <row r="562" spans="1:4">
      <c r="A562" s="2">
        <f>+'18O filtrado'!C533</f>
        <v>0</v>
      </c>
      <c r="B562" s="2">
        <f>+'18O filtrado'!D533</f>
        <v>0</v>
      </c>
      <c r="C562" s="2">
        <f>+'18O filtrado'!P533</f>
        <v>0</v>
      </c>
      <c r="D562" s="5">
        <f t="shared" si="10"/>
        <v>-1.7937464536986967</v>
      </c>
    </row>
    <row r="563" spans="1:4">
      <c r="A563" s="2">
        <f>+'18O filtrado'!C534</f>
        <v>0</v>
      </c>
      <c r="B563" s="2">
        <f>+'18O filtrado'!D534</f>
        <v>0</v>
      </c>
      <c r="C563" s="2">
        <f>+'18O filtrado'!P534</f>
        <v>0</v>
      </c>
      <c r="D563" s="5">
        <f t="shared" si="10"/>
        <v>-1.7937464536986967</v>
      </c>
    </row>
    <row r="564" spans="1:4">
      <c r="A564" s="2">
        <f>+'18O filtrado'!C535</f>
        <v>0</v>
      </c>
      <c r="B564" s="2">
        <f>+'18O filtrado'!D535</f>
        <v>0</v>
      </c>
      <c r="C564" s="2">
        <f>+'18O filtrado'!P535</f>
        <v>0</v>
      </c>
      <c r="D564" s="5">
        <f t="shared" si="10"/>
        <v>-1.7937464536986967</v>
      </c>
    </row>
    <row r="565" spans="1:4">
      <c r="A565" s="2">
        <f>+'18O filtrado'!C536</f>
        <v>0</v>
      </c>
      <c r="B565" s="2">
        <f>+'18O filtrado'!D536</f>
        <v>0</v>
      </c>
      <c r="C565" s="2">
        <f>+'18O filtrado'!P536</f>
        <v>0</v>
      </c>
      <c r="D565" s="5">
        <f t="shared" si="10"/>
        <v>-1.7937464536986967</v>
      </c>
    </row>
    <row r="566" spans="1:4">
      <c r="A566" s="2">
        <f>+'18O filtrado'!C537</f>
        <v>0</v>
      </c>
      <c r="B566" s="2">
        <f>+'18O filtrado'!D537</f>
        <v>0</v>
      </c>
      <c r="C566" s="2">
        <f>+'18O filtrado'!P537</f>
        <v>0</v>
      </c>
      <c r="D566" s="5">
        <f t="shared" si="10"/>
        <v>-1.7937464536986967</v>
      </c>
    </row>
    <row r="567" spans="1:4">
      <c r="A567" s="2">
        <f>+'18O filtrado'!C538</f>
        <v>0</v>
      </c>
      <c r="B567" s="2">
        <f>+'18O filtrado'!D538</f>
        <v>0</v>
      </c>
      <c r="C567" s="2">
        <f>+'18O filtrado'!P538</f>
        <v>0</v>
      </c>
      <c r="D567" s="5">
        <f t="shared" si="10"/>
        <v>-1.7937464536986967</v>
      </c>
    </row>
    <row r="568" spans="1:4">
      <c r="A568" s="2">
        <f>+'18O filtrado'!C539</f>
        <v>0</v>
      </c>
      <c r="B568" s="2">
        <f>+'18O filtrado'!D539</f>
        <v>0</v>
      </c>
      <c r="C568" s="2">
        <f>+'18O filtrado'!P539</f>
        <v>0</v>
      </c>
      <c r="D568" s="5">
        <f t="shared" si="10"/>
        <v>-1.7937464536986967</v>
      </c>
    </row>
    <row r="569" spans="1:4">
      <c r="A569" s="2">
        <f>+'18O filtrado'!C540</f>
        <v>0</v>
      </c>
      <c r="B569" s="2">
        <f>+'18O filtrado'!D540</f>
        <v>0</v>
      </c>
      <c r="C569" s="2">
        <f>+'18O filtrado'!P540</f>
        <v>0</v>
      </c>
      <c r="D569" s="5">
        <f t="shared" si="10"/>
        <v>-1.7937464536986967</v>
      </c>
    </row>
    <row r="570" spans="1:4">
      <c r="A570" s="2">
        <f>+'18O filtrado'!C541</f>
        <v>0</v>
      </c>
      <c r="B570" s="2">
        <f>+'18O filtrado'!D541</f>
        <v>0</v>
      </c>
      <c r="C570" s="2">
        <f>+'18O filtrado'!P541</f>
        <v>0</v>
      </c>
      <c r="D570" s="5">
        <f t="shared" si="10"/>
        <v>-1.7937464536986967</v>
      </c>
    </row>
    <row r="571" spans="1:4">
      <c r="A571" s="2">
        <f>+'18O filtrado'!C542</f>
        <v>0</v>
      </c>
      <c r="B571" s="2">
        <f>+'18O filtrado'!D542</f>
        <v>0</v>
      </c>
      <c r="C571" s="2">
        <f>+'18O filtrado'!P542</f>
        <v>0</v>
      </c>
      <c r="D571" s="5">
        <f t="shared" si="10"/>
        <v>-1.7937464536986967</v>
      </c>
    </row>
    <row r="572" spans="1:4">
      <c r="A572" s="2">
        <f>+'18O filtrado'!C543</f>
        <v>0</v>
      </c>
      <c r="B572" s="2">
        <f>+'18O filtrado'!D543</f>
        <v>0</v>
      </c>
      <c r="C572" s="2">
        <f>+'18O filtrado'!P543</f>
        <v>0</v>
      </c>
      <c r="D572" s="5">
        <f t="shared" si="10"/>
        <v>-1.7937464536986967</v>
      </c>
    </row>
    <row r="573" spans="1:4">
      <c r="A573" s="2">
        <f>+'18O filtrado'!C544</f>
        <v>0</v>
      </c>
      <c r="B573" s="2">
        <f>+'18O filtrado'!D544</f>
        <v>0</v>
      </c>
      <c r="C573" s="2">
        <f>+'18O filtrado'!P544</f>
        <v>0</v>
      </c>
      <c r="D573" s="5">
        <f t="shared" si="10"/>
        <v>-1.7937464536986967</v>
      </c>
    </row>
    <row r="574" spans="1:4">
      <c r="A574" s="2">
        <f>+'18O filtrado'!C545</f>
        <v>0</v>
      </c>
      <c r="B574" s="2">
        <f>+'18O filtrado'!D545</f>
        <v>0</v>
      </c>
      <c r="C574" s="2">
        <f>+'18O filtrado'!P545</f>
        <v>0</v>
      </c>
      <c r="D574" s="5">
        <f t="shared" si="10"/>
        <v>-1.7937464536986967</v>
      </c>
    </row>
    <row r="575" spans="1:4">
      <c r="A575" s="2">
        <f>+'18O filtrado'!C546</f>
        <v>0</v>
      </c>
      <c r="B575" s="2">
        <f>+'18O filtrado'!D546</f>
        <v>0</v>
      </c>
      <c r="C575" s="2">
        <f>+'18O filtrado'!P546</f>
        <v>0</v>
      </c>
      <c r="D575" s="5">
        <f t="shared" si="10"/>
        <v>-1.7937464536986967</v>
      </c>
    </row>
    <row r="576" spans="1:4">
      <c r="A576" s="2">
        <f>+'18O filtrado'!C547</f>
        <v>0</v>
      </c>
      <c r="B576" s="2">
        <f>+'18O filtrado'!D547</f>
        <v>0</v>
      </c>
      <c r="C576" s="2">
        <f>+'18O filtrado'!P547</f>
        <v>0</v>
      </c>
      <c r="D576" s="5">
        <f t="shared" si="10"/>
        <v>-1.7937464536986967</v>
      </c>
    </row>
    <row r="577" spans="1:4">
      <c r="A577" s="2">
        <f>+'18O filtrado'!C548</f>
        <v>0</v>
      </c>
      <c r="B577" s="2">
        <f>+'18O filtrado'!D548</f>
        <v>0</v>
      </c>
      <c r="C577" s="2">
        <f>+'18O filtrado'!P548</f>
        <v>0</v>
      </c>
      <c r="D577" s="5">
        <f t="shared" si="10"/>
        <v>-1.7937464536986967</v>
      </c>
    </row>
    <row r="578" spans="1:4">
      <c r="A578" s="2">
        <f>+'18O filtrado'!C549</f>
        <v>0</v>
      </c>
      <c r="B578" s="2">
        <f>+'18O filtrado'!D549</f>
        <v>0</v>
      </c>
      <c r="C578" s="2">
        <f>+'18O filtrado'!P549</f>
        <v>0</v>
      </c>
      <c r="D578" s="5">
        <f t="shared" si="10"/>
        <v>-1.7937464536986967</v>
      </c>
    </row>
    <row r="579" spans="1:4">
      <c r="A579" s="2">
        <f>+'18O filtrado'!C550</f>
        <v>0</v>
      </c>
      <c r="B579" s="2">
        <f>+'18O filtrado'!D550</f>
        <v>0</v>
      </c>
      <c r="C579" s="2">
        <f>+'18O filtrado'!P550</f>
        <v>0</v>
      </c>
      <c r="D579" s="5">
        <f t="shared" si="10"/>
        <v>-1.7937464536986967</v>
      </c>
    </row>
    <row r="580" spans="1:4">
      <c r="A580" s="2">
        <f>+'18O filtrado'!C551</f>
        <v>0</v>
      </c>
      <c r="B580" s="2">
        <f>+'18O filtrado'!D551</f>
        <v>0</v>
      </c>
      <c r="C580" s="2">
        <f>+'18O filtrado'!P551</f>
        <v>0</v>
      </c>
      <c r="D580" s="5">
        <f t="shared" si="10"/>
        <v>-1.7937464536986967</v>
      </c>
    </row>
    <row r="581" spans="1:4">
      <c r="A581" s="2">
        <f>+'18O filtrado'!C552</f>
        <v>0</v>
      </c>
      <c r="B581" s="2">
        <f>+'18O filtrado'!D552</f>
        <v>0</v>
      </c>
      <c r="C581" s="2">
        <f>+'18O filtrado'!P552</f>
        <v>0</v>
      </c>
      <c r="D581" s="5">
        <f t="shared" si="10"/>
        <v>-1.7937464536986967</v>
      </c>
    </row>
    <row r="582" spans="1:4">
      <c r="A582" s="2">
        <f>+'18O filtrado'!C553</f>
        <v>0</v>
      </c>
      <c r="B582" s="2">
        <f>+'18O filtrado'!D553</f>
        <v>0</v>
      </c>
      <c r="C582" s="2">
        <f>+'18O filtrado'!P553</f>
        <v>0</v>
      </c>
      <c r="D582" s="5">
        <f t="shared" si="10"/>
        <v>-1.7937464536986967</v>
      </c>
    </row>
    <row r="583" spans="1:4">
      <c r="A583" s="2">
        <f>+'18O filtrado'!C554</f>
        <v>0</v>
      </c>
      <c r="B583" s="2">
        <f>+'18O filtrado'!D554</f>
        <v>0</v>
      </c>
      <c r="C583" s="2">
        <f>+'18O filtrado'!P554</f>
        <v>0</v>
      </c>
      <c r="D583" s="5">
        <f t="shared" si="10"/>
        <v>-1.7937464536986967</v>
      </c>
    </row>
    <row r="584" spans="1:4">
      <c r="A584" s="2">
        <f>+'18O filtrado'!C555</f>
        <v>0</v>
      </c>
      <c r="B584" s="2">
        <f>+'18O filtrado'!D555</f>
        <v>0</v>
      </c>
      <c r="C584" s="2">
        <f>+'18O filtrado'!P555</f>
        <v>0</v>
      </c>
      <c r="D584" s="5">
        <f t="shared" si="10"/>
        <v>-1.7937464536986967</v>
      </c>
    </row>
    <row r="585" spans="1:4">
      <c r="A585" s="2">
        <f>+'18O filtrado'!C556</f>
        <v>0</v>
      </c>
      <c r="B585" s="2">
        <f>+'18O filtrado'!D556</f>
        <v>0</v>
      </c>
      <c r="C585" s="2">
        <f>+'18O filtrado'!P556</f>
        <v>0</v>
      </c>
      <c r="D585" s="5">
        <f t="shared" si="10"/>
        <v>-1.7937464536986967</v>
      </c>
    </row>
    <row r="586" spans="1:4">
      <c r="A586" s="2">
        <f>+'18O filtrado'!C557</f>
        <v>0</v>
      </c>
      <c r="B586" s="2">
        <f>+'18O filtrado'!D557</f>
        <v>0</v>
      </c>
      <c r="C586" s="2">
        <f>+'18O filtrado'!P557</f>
        <v>0</v>
      </c>
      <c r="D586" s="5">
        <f t="shared" si="10"/>
        <v>-1.7937464536986967</v>
      </c>
    </row>
    <row r="587" spans="1:4">
      <c r="A587" s="2">
        <f>+'18O filtrado'!C558</f>
        <v>0</v>
      </c>
      <c r="B587" s="2">
        <f>+'18O filtrado'!D558</f>
        <v>0</v>
      </c>
      <c r="C587" s="2">
        <f>+'18O filtrado'!P558</f>
        <v>0</v>
      </c>
      <c r="D587" s="5">
        <f t="shared" si="10"/>
        <v>-1.7937464536986967</v>
      </c>
    </row>
    <row r="588" spans="1:4">
      <c r="A588" s="2">
        <f>+'18O filtrado'!C559</f>
        <v>0</v>
      </c>
      <c r="B588" s="2">
        <f>+'18O filtrado'!D559</f>
        <v>0</v>
      </c>
      <c r="C588" s="2">
        <f>+'18O filtrado'!P559</f>
        <v>0</v>
      </c>
      <c r="D588" s="5">
        <f t="shared" si="10"/>
        <v>-1.7937464536986967</v>
      </c>
    </row>
    <row r="589" spans="1:4">
      <c r="A589" s="2">
        <f>+'18O filtrado'!C560</f>
        <v>0</v>
      </c>
      <c r="B589" s="2">
        <f>+'18O filtrado'!D560</f>
        <v>0</v>
      </c>
      <c r="C589" s="2">
        <f>+'18O filtrado'!P560</f>
        <v>0</v>
      </c>
      <c r="D589" s="5">
        <f t="shared" si="10"/>
        <v>-1.7937464536986967</v>
      </c>
    </row>
    <row r="590" spans="1:4">
      <c r="A590" s="2">
        <f>+'18O filtrado'!C561</f>
        <v>0</v>
      </c>
      <c r="B590" s="2">
        <f>+'18O filtrado'!D561</f>
        <v>0</v>
      </c>
      <c r="C590" s="2">
        <f>+'18O filtrado'!P561</f>
        <v>0</v>
      </c>
      <c r="D590" s="5">
        <f t="shared" si="10"/>
        <v>-1.7937464536986967</v>
      </c>
    </row>
    <row r="591" spans="1:4">
      <c r="A591" s="2">
        <f>+'18O filtrado'!C562</f>
        <v>0</v>
      </c>
      <c r="B591" s="2">
        <f>+'18O filtrado'!D562</f>
        <v>0</v>
      </c>
      <c r="C591" s="2">
        <f>+'18O filtrado'!P562</f>
        <v>0</v>
      </c>
      <c r="D591" s="5">
        <f t="shared" si="10"/>
        <v>-1.7937464536986967</v>
      </c>
    </row>
    <row r="592" spans="1:4">
      <c r="A592" s="2">
        <f>+'18O filtrado'!C563</f>
        <v>0</v>
      </c>
      <c r="B592" s="2">
        <f>+'18O filtrado'!D563</f>
        <v>0</v>
      </c>
      <c r="C592" s="2">
        <f>+'18O filtrado'!P563</f>
        <v>0</v>
      </c>
      <c r="D592" s="5">
        <f t="shared" si="10"/>
        <v>-1.7937464536986967</v>
      </c>
    </row>
    <row r="593" spans="1:4">
      <c r="A593" s="2">
        <f>+'18O filtrado'!C564</f>
        <v>0</v>
      </c>
      <c r="B593" s="2">
        <f>+'18O filtrado'!D564</f>
        <v>0</v>
      </c>
      <c r="C593" s="2">
        <f>+'18O filtrado'!P564</f>
        <v>0</v>
      </c>
      <c r="D593" s="5">
        <f t="shared" si="10"/>
        <v>-1.7937464536986967</v>
      </c>
    </row>
    <row r="594" spans="1:4">
      <c r="A594" s="2">
        <f>+'18O filtrado'!C565</f>
        <v>0</v>
      </c>
      <c r="B594" s="2">
        <f>+'18O filtrado'!D565</f>
        <v>0</v>
      </c>
      <c r="C594" s="2">
        <f>+'18O filtrado'!P565</f>
        <v>0</v>
      </c>
      <c r="D594" s="5">
        <f t="shared" si="10"/>
        <v>-1.7937464536986967</v>
      </c>
    </row>
    <row r="595" spans="1:4">
      <c r="A595" s="2">
        <f>+'18O filtrado'!C566</f>
        <v>0</v>
      </c>
      <c r="B595" s="2">
        <f>+'18O filtrado'!D566</f>
        <v>0</v>
      </c>
      <c r="C595" s="2">
        <f>+'18O filtrado'!P566</f>
        <v>0</v>
      </c>
      <c r="D595" s="5">
        <f t="shared" si="10"/>
        <v>-1.7937464536986967</v>
      </c>
    </row>
    <row r="596" spans="1:4">
      <c r="A596" s="2">
        <f>+'18O filtrado'!C567</f>
        <v>0</v>
      </c>
      <c r="B596" s="2">
        <f>+'18O filtrado'!D567</f>
        <v>0</v>
      </c>
      <c r="C596" s="2">
        <f>+'18O filtrado'!P567</f>
        <v>0</v>
      </c>
      <c r="D596" s="5">
        <f t="shared" si="10"/>
        <v>-1.7937464536986967</v>
      </c>
    </row>
    <row r="597" spans="1:4">
      <c r="A597" s="2">
        <f>+'18O filtrado'!C568</f>
        <v>0</v>
      </c>
      <c r="B597" s="2">
        <f>+'18O filtrado'!D568</f>
        <v>0</v>
      </c>
      <c r="C597" s="2">
        <f>+'18O filtrado'!P568</f>
        <v>0</v>
      </c>
      <c r="D597" s="5">
        <f t="shared" si="10"/>
        <v>-1.7937464536986967</v>
      </c>
    </row>
    <row r="598" spans="1:4">
      <c r="A598" s="2">
        <f>+'18O filtrado'!C569</f>
        <v>0</v>
      </c>
      <c r="B598" s="2">
        <f>+'18O filtrado'!D569</f>
        <v>0</v>
      </c>
      <c r="C598" s="2">
        <f>+'18O filtrado'!P569</f>
        <v>0</v>
      </c>
      <c r="D598" s="5">
        <f t="shared" si="10"/>
        <v>-1.7937464536986967</v>
      </c>
    </row>
    <row r="599" spans="1:4">
      <c r="A599" s="2">
        <f>+'18O filtrado'!C570</f>
        <v>0</v>
      </c>
      <c r="B599" s="2">
        <f>+'18O filtrado'!D570</f>
        <v>0</v>
      </c>
      <c r="C599" s="2">
        <f>+'18O filtrado'!P570</f>
        <v>0</v>
      </c>
      <c r="D599" s="5">
        <f t="shared" si="10"/>
        <v>-1.7937464536986967</v>
      </c>
    </row>
    <row r="600" spans="1:4">
      <c r="A600" s="2">
        <f>+'18O filtrado'!C571</f>
        <v>0</v>
      </c>
      <c r="B600" s="2">
        <f>+'18O filtrado'!D571</f>
        <v>0</v>
      </c>
      <c r="C600" s="2">
        <f>+'18O filtrado'!P571</f>
        <v>0</v>
      </c>
      <c r="D600" s="5">
        <f t="shared" si="10"/>
        <v>-1.7937464536986967</v>
      </c>
    </row>
    <row r="601" spans="1:4">
      <c r="A601" s="2">
        <f>+'18O filtrado'!C572</f>
        <v>0</v>
      </c>
      <c r="B601" s="2">
        <f>+'18O filtrado'!D572</f>
        <v>0</v>
      </c>
      <c r="C601" s="2">
        <f>+'18O filtrado'!P572</f>
        <v>0</v>
      </c>
      <c r="D601" s="5">
        <f t="shared" si="10"/>
        <v>-1.7937464536986967</v>
      </c>
    </row>
    <row r="602" spans="1:4">
      <c r="A602" s="2">
        <f>+'18O filtrado'!C573</f>
        <v>0</v>
      </c>
      <c r="B602" s="2">
        <f>+'18O filtrado'!D573</f>
        <v>0</v>
      </c>
      <c r="C602" s="2">
        <f>+'18O filtrado'!P573</f>
        <v>0</v>
      </c>
      <c r="D602" s="5">
        <f t="shared" si="10"/>
        <v>-1.7937464536986967</v>
      </c>
    </row>
    <row r="603" spans="1:4">
      <c r="A603" s="2">
        <f>+'18O filtrado'!C574</f>
        <v>0</v>
      </c>
      <c r="B603" s="2">
        <f>+'18O filtrado'!D574</f>
        <v>0</v>
      </c>
      <c r="C603" s="2">
        <f>+'18O filtrado'!P574</f>
        <v>0</v>
      </c>
      <c r="D603" s="5">
        <f t="shared" si="10"/>
        <v>-1.7937464536986967</v>
      </c>
    </row>
    <row r="604" spans="1:4">
      <c r="A604" s="2">
        <f>+'18O filtrado'!C575</f>
        <v>0</v>
      </c>
      <c r="B604" s="2">
        <f>+'18O filtrado'!D575</f>
        <v>0</v>
      </c>
      <c r="C604" s="2">
        <f>+'18O filtrado'!P575</f>
        <v>0</v>
      </c>
      <c r="D604" s="5">
        <f t="shared" si="10"/>
        <v>-1.7937464536986967</v>
      </c>
    </row>
    <row r="605" spans="1:4">
      <c r="A605" s="2">
        <f>+'18O filtrado'!C576</f>
        <v>0</v>
      </c>
      <c r="B605" s="2">
        <f>+'18O filtrado'!D576</f>
        <v>0</v>
      </c>
      <c r="C605" s="2">
        <f>+'18O filtrado'!P576</f>
        <v>0</v>
      </c>
      <c r="D605" s="5">
        <f t="shared" si="10"/>
        <v>-1.7937464536986967</v>
      </c>
    </row>
    <row r="606" spans="1:4">
      <c r="A606" s="2">
        <f>+'18O filtrado'!C577</f>
        <v>0</v>
      </c>
      <c r="B606" s="2">
        <f>+'18O filtrado'!D577</f>
        <v>0</v>
      </c>
      <c r="C606" s="2">
        <f>+'18O filtrado'!P577</f>
        <v>0</v>
      </c>
      <c r="D606" s="5">
        <f t="shared" si="10"/>
        <v>-1.7937464536986967</v>
      </c>
    </row>
    <row r="607" spans="1:4">
      <c r="A607" s="2">
        <f>+'18O filtrado'!C578</f>
        <v>0</v>
      </c>
      <c r="B607" s="2">
        <f>+'18O filtrado'!D578</f>
        <v>0</v>
      </c>
      <c r="C607" s="2">
        <f>+'18O filtrado'!P578</f>
        <v>0</v>
      </c>
      <c r="D607" s="5">
        <f t="shared" si="10"/>
        <v>-1.7937464536986967</v>
      </c>
    </row>
    <row r="608" spans="1:4">
      <c r="A608" s="2">
        <f>+'18O filtrado'!C579</f>
        <v>0</v>
      </c>
      <c r="B608" s="2">
        <f>+'18O filtrado'!D579</f>
        <v>0</v>
      </c>
      <c r="C608" s="2">
        <f>+'18O filtrado'!P579</f>
        <v>0</v>
      </c>
      <c r="D608" s="5">
        <f t="shared" ref="D608:D671" si="11">+(C608-$N$22)/$N$21</f>
        <v>-1.7937464536986967</v>
      </c>
    </row>
    <row r="609" spans="1:4">
      <c r="A609" s="2">
        <f>+'18O filtrado'!C580</f>
        <v>0</v>
      </c>
      <c r="B609" s="2">
        <f>+'18O filtrado'!D580</f>
        <v>0</v>
      </c>
      <c r="C609" s="2">
        <f>+'18O filtrado'!P580</f>
        <v>0</v>
      </c>
      <c r="D609" s="5">
        <f t="shared" si="11"/>
        <v>-1.7937464536986967</v>
      </c>
    </row>
    <row r="610" spans="1:4">
      <c r="A610" s="2">
        <f>+'18O filtrado'!C581</f>
        <v>0</v>
      </c>
      <c r="B610" s="2">
        <f>+'18O filtrado'!D581</f>
        <v>0</v>
      </c>
      <c r="C610" s="2">
        <f>+'18O filtrado'!P581</f>
        <v>0</v>
      </c>
      <c r="D610" s="5">
        <f t="shared" si="11"/>
        <v>-1.7937464536986967</v>
      </c>
    </row>
    <row r="611" spans="1:4">
      <c r="A611" s="2">
        <f>+'18O filtrado'!C582</f>
        <v>0</v>
      </c>
      <c r="B611" s="2">
        <f>+'18O filtrado'!D582</f>
        <v>0</v>
      </c>
      <c r="C611" s="2">
        <f>+'18O filtrado'!P582</f>
        <v>0</v>
      </c>
      <c r="D611" s="5">
        <f t="shared" si="11"/>
        <v>-1.7937464536986967</v>
      </c>
    </row>
    <row r="612" spans="1:4">
      <c r="A612" s="2">
        <f>+'18O filtrado'!C583</f>
        <v>0</v>
      </c>
      <c r="B612" s="2">
        <f>+'18O filtrado'!D583</f>
        <v>0</v>
      </c>
      <c r="C612" s="2">
        <f>+'18O filtrado'!P583</f>
        <v>0</v>
      </c>
      <c r="D612" s="5">
        <f t="shared" si="11"/>
        <v>-1.7937464536986967</v>
      </c>
    </row>
    <row r="613" spans="1:4">
      <c r="A613" s="2">
        <f>+'18O filtrado'!C584</f>
        <v>0</v>
      </c>
      <c r="B613" s="2">
        <f>+'18O filtrado'!D584</f>
        <v>0</v>
      </c>
      <c r="C613" s="2">
        <f>+'18O filtrado'!P584</f>
        <v>0</v>
      </c>
      <c r="D613" s="5">
        <f t="shared" si="11"/>
        <v>-1.7937464536986967</v>
      </c>
    </row>
    <row r="614" spans="1:4">
      <c r="A614" s="2">
        <f>+'18O filtrado'!C585</f>
        <v>0</v>
      </c>
      <c r="B614" s="2">
        <f>+'18O filtrado'!D585</f>
        <v>0</v>
      </c>
      <c r="C614" s="2">
        <f>+'18O filtrado'!P585</f>
        <v>0</v>
      </c>
      <c r="D614" s="5">
        <f t="shared" si="11"/>
        <v>-1.7937464536986967</v>
      </c>
    </row>
    <row r="615" spans="1:4">
      <c r="A615" s="2">
        <f>+'18O filtrado'!C586</f>
        <v>0</v>
      </c>
      <c r="B615" s="2">
        <f>+'18O filtrado'!D586</f>
        <v>0</v>
      </c>
      <c r="C615" s="2">
        <f>+'18O filtrado'!P586</f>
        <v>0</v>
      </c>
      <c r="D615" s="5">
        <f t="shared" si="11"/>
        <v>-1.7937464536986967</v>
      </c>
    </row>
    <row r="616" spans="1:4">
      <c r="A616" s="2">
        <f>+'18O filtrado'!C587</f>
        <v>0</v>
      </c>
      <c r="B616" s="2">
        <f>+'18O filtrado'!D587</f>
        <v>0</v>
      </c>
      <c r="C616" s="2">
        <f>+'18O filtrado'!P587</f>
        <v>0</v>
      </c>
      <c r="D616" s="5">
        <f t="shared" si="11"/>
        <v>-1.7937464536986967</v>
      </c>
    </row>
    <row r="617" spans="1:4">
      <c r="A617" s="2">
        <f>+'18O filtrado'!C588</f>
        <v>0</v>
      </c>
      <c r="B617" s="2">
        <f>+'18O filtrado'!D588</f>
        <v>0</v>
      </c>
      <c r="C617" s="2">
        <f>+'18O filtrado'!P588</f>
        <v>0</v>
      </c>
      <c r="D617" s="5">
        <f t="shared" si="11"/>
        <v>-1.7937464536986967</v>
      </c>
    </row>
    <row r="618" spans="1:4">
      <c r="A618" s="2">
        <f>+'18O filtrado'!C589</f>
        <v>0</v>
      </c>
      <c r="B618" s="2">
        <f>+'18O filtrado'!D589</f>
        <v>0</v>
      </c>
      <c r="C618" s="2">
        <f>+'18O filtrado'!P589</f>
        <v>0</v>
      </c>
      <c r="D618" s="5">
        <f t="shared" si="11"/>
        <v>-1.7937464536986967</v>
      </c>
    </row>
    <row r="619" spans="1:4">
      <c r="A619" s="2">
        <f>+'18O filtrado'!C590</f>
        <v>0</v>
      </c>
      <c r="B619" s="2">
        <f>+'18O filtrado'!D590</f>
        <v>0</v>
      </c>
      <c r="C619" s="2">
        <f>+'18O filtrado'!P590</f>
        <v>0</v>
      </c>
      <c r="D619" s="5">
        <f t="shared" si="11"/>
        <v>-1.7937464536986967</v>
      </c>
    </row>
    <row r="620" spans="1:4">
      <c r="A620" s="2">
        <f>+'18O filtrado'!C591</f>
        <v>0</v>
      </c>
      <c r="B620" s="2">
        <f>+'18O filtrado'!D591</f>
        <v>0</v>
      </c>
      <c r="C620" s="2">
        <f>+'18O filtrado'!P591</f>
        <v>0</v>
      </c>
      <c r="D620" s="5">
        <f t="shared" si="11"/>
        <v>-1.7937464536986967</v>
      </c>
    </row>
    <row r="621" spans="1:4">
      <c r="A621" s="2">
        <f>+'18O filtrado'!C592</f>
        <v>0</v>
      </c>
      <c r="B621" s="2">
        <f>+'18O filtrado'!D592</f>
        <v>0</v>
      </c>
      <c r="C621" s="2">
        <f>+'18O filtrado'!P592</f>
        <v>0</v>
      </c>
      <c r="D621" s="5">
        <f t="shared" si="11"/>
        <v>-1.7937464536986967</v>
      </c>
    </row>
    <row r="622" spans="1:4">
      <c r="A622" s="2">
        <f>+'18O filtrado'!C593</f>
        <v>0</v>
      </c>
      <c r="B622" s="2">
        <f>+'18O filtrado'!D593</f>
        <v>0</v>
      </c>
      <c r="C622" s="2">
        <f>+'18O filtrado'!P593</f>
        <v>0</v>
      </c>
      <c r="D622" s="5">
        <f t="shared" si="11"/>
        <v>-1.7937464536986967</v>
      </c>
    </row>
    <row r="623" spans="1:4">
      <c r="A623" s="2">
        <f>+'18O filtrado'!C594</f>
        <v>0</v>
      </c>
      <c r="B623" s="2">
        <f>+'18O filtrado'!D594</f>
        <v>0</v>
      </c>
      <c r="C623" s="2">
        <f>+'18O filtrado'!P594</f>
        <v>0</v>
      </c>
      <c r="D623" s="5">
        <f t="shared" si="11"/>
        <v>-1.7937464536986967</v>
      </c>
    </row>
    <row r="624" spans="1:4">
      <c r="A624" s="2">
        <f>+'18O filtrado'!C595</f>
        <v>0</v>
      </c>
      <c r="B624" s="2">
        <f>+'18O filtrado'!D595</f>
        <v>0</v>
      </c>
      <c r="C624" s="2">
        <f>+'18O filtrado'!P595</f>
        <v>0</v>
      </c>
      <c r="D624" s="5">
        <f t="shared" si="11"/>
        <v>-1.7937464536986967</v>
      </c>
    </row>
    <row r="625" spans="1:4">
      <c r="A625" s="2">
        <f>+'18O filtrado'!C596</f>
        <v>0</v>
      </c>
      <c r="B625" s="2">
        <f>+'18O filtrado'!D596</f>
        <v>0</v>
      </c>
      <c r="C625" s="2">
        <f>+'18O filtrado'!P596</f>
        <v>0</v>
      </c>
      <c r="D625" s="5">
        <f t="shared" si="11"/>
        <v>-1.7937464536986967</v>
      </c>
    </row>
    <row r="626" spans="1:4">
      <c r="A626" s="2">
        <f>+'18O filtrado'!C597</f>
        <v>0</v>
      </c>
      <c r="B626" s="2">
        <f>+'18O filtrado'!D597</f>
        <v>0</v>
      </c>
      <c r="C626" s="2">
        <f>+'18O filtrado'!P597</f>
        <v>0</v>
      </c>
      <c r="D626" s="5">
        <f t="shared" si="11"/>
        <v>-1.7937464536986967</v>
      </c>
    </row>
    <row r="627" spans="1:4">
      <c r="A627" s="2">
        <f>+'18O filtrado'!C598</f>
        <v>0</v>
      </c>
      <c r="B627" s="2">
        <f>+'18O filtrado'!D598</f>
        <v>0</v>
      </c>
      <c r="C627" s="2">
        <f>+'18O filtrado'!P598</f>
        <v>0</v>
      </c>
      <c r="D627" s="5">
        <f t="shared" si="11"/>
        <v>-1.7937464536986967</v>
      </c>
    </row>
    <row r="628" spans="1:4">
      <c r="A628" s="2">
        <f>+'18O filtrado'!C599</f>
        <v>0</v>
      </c>
      <c r="B628" s="2">
        <f>+'18O filtrado'!D599</f>
        <v>0</v>
      </c>
      <c r="C628" s="2">
        <f>+'18O filtrado'!P599</f>
        <v>0</v>
      </c>
      <c r="D628" s="5">
        <f t="shared" si="11"/>
        <v>-1.7937464536986967</v>
      </c>
    </row>
    <row r="629" spans="1:4">
      <c r="A629" s="2">
        <f>+'18O filtrado'!C600</f>
        <v>0</v>
      </c>
      <c r="B629" s="2">
        <f>+'18O filtrado'!D600</f>
        <v>0</v>
      </c>
      <c r="C629" s="2">
        <f>+'18O filtrado'!P600</f>
        <v>0</v>
      </c>
      <c r="D629" s="5">
        <f t="shared" si="11"/>
        <v>-1.7937464536986967</v>
      </c>
    </row>
    <row r="630" spans="1:4">
      <c r="A630" s="2">
        <f>+'18O filtrado'!C601</f>
        <v>0</v>
      </c>
      <c r="B630" s="2">
        <f>+'18O filtrado'!D601</f>
        <v>0</v>
      </c>
      <c r="C630" s="2">
        <f>+'18O filtrado'!P601</f>
        <v>0</v>
      </c>
      <c r="D630" s="5">
        <f t="shared" si="11"/>
        <v>-1.7937464536986967</v>
      </c>
    </row>
    <row r="631" spans="1:4">
      <c r="A631" s="2">
        <f>+'18O filtrado'!C602</f>
        <v>0</v>
      </c>
      <c r="B631" s="2">
        <f>+'18O filtrado'!D602</f>
        <v>0</v>
      </c>
      <c r="C631" s="2">
        <f>+'18O filtrado'!P602</f>
        <v>0</v>
      </c>
      <c r="D631" s="5">
        <f t="shared" si="11"/>
        <v>-1.7937464536986967</v>
      </c>
    </row>
    <row r="632" spans="1:4">
      <c r="A632" s="2">
        <f>+'18O filtrado'!C603</f>
        <v>0</v>
      </c>
      <c r="B632" s="2">
        <f>+'18O filtrado'!D603</f>
        <v>0</v>
      </c>
      <c r="C632" s="2">
        <f>+'18O filtrado'!P603</f>
        <v>0</v>
      </c>
      <c r="D632" s="5">
        <f t="shared" si="11"/>
        <v>-1.7937464536986967</v>
      </c>
    </row>
    <row r="633" spans="1:4">
      <c r="A633" s="2">
        <f>+'18O filtrado'!C604</f>
        <v>0</v>
      </c>
      <c r="B633" s="2">
        <f>+'18O filtrado'!D604</f>
        <v>0</v>
      </c>
      <c r="C633" s="2">
        <f>+'18O filtrado'!P604</f>
        <v>0</v>
      </c>
      <c r="D633" s="5">
        <f t="shared" si="11"/>
        <v>-1.7937464536986967</v>
      </c>
    </row>
    <row r="634" spans="1:4">
      <c r="A634" s="2">
        <f>+'18O filtrado'!C605</f>
        <v>0</v>
      </c>
      <c r="B634" s="2">
        <f>+'18O filtrado'!D605</f>
        <v>0</v>
      </c>
      <c r="C634" s="2">
        <f>+'18O filtrado'!P605</f>
        <v>0</v>
      </c>
      <c r="D634" s="5">
        <f t="shared" si="11"/>
        <v>-1.7937464536986967</v>
      </c>
    </row>
    <row r="635" spans="1:4">
      <c r="A635" s="2">
        <f>+'18O filtrado'!C606</f>
        <v>0</v>
      </c>
      <c r="B635" s="2">
        <f>+'18O filtrado'!D606</f>
        <v>0</v>
      </c>
      <c r="C635" s="2">
        <f>+'18O filtrado'!P606</f>
        <v>0</v>
      </c>
      <c r="D635" s="5">
        <f t="shared" si="11"/>
        <v>-1.7937464536986967</v>
      </c>
    </row>
    <row r="636" spans="1:4">
      <c r="A636" s="2">
        <f>+'18O filtrado'!C607</f>
        <v>0</v>
      </c>
      <c r="B636" s="2">
        <f>+'18O filtrado'!D607</f>
        <v>0</v>
      </c>
      <c r="C636" s="2">
        <f>+'18O filtrado'!P607</f>
        <v>0</v>
      </c>
      <c r="D636" s="5">
        <f t="shared" si="11"/>
        <v>-1.7937464536986967</v>
      </c>
    </row>
    <row r="637" spans="1:4">
      <c r="A637" s="2">
        <f>+'18O filtrado'!C608</f>
        <v>0</v>
      </c>
      <c r="B637" s="2">
        <f>+'18O filtrado'!D608</f>
        <v>0</v>
      </c>
      <c r="C637" s="2">
        <f>+'18O filtrado'!P608</f>
        <v>0</v>
      </c>
      <c r="D637" s="5">
        <f t="shared" si="11"/>
        <v>-1.7937464536986967</v>
      </c>
    </row>
    <row r="638" spans="1:4">
      <c r="A638" s="2">
        <f>+'18O filtrado'!C609</f>
        <v>0</v>
      </c>
      <c r="B638" s="2">
        <f>+'18O filtrado'!D609</f>
        <v>0</v>
      </c>
      <c r="C638" s="2">
        <f>+'18O filtrado'!P609</f>
        <v>0</v>
      </c>
      <c r="D638" s="5">
        <f t="shared" si="11"/>
        <v>-1.7937464536986967</v>
      </c>
    </row>
    <row r="639" spans="1:4">
      <c r="A639" s="2">
        <f>+'18O filtrado'!C610</f>
        <v>0</v>
      </c>
      <c r="B639" s="2">
        <f>+'18O filtrado'!D610</f>
        <v>0</v>
      </c>
      <c r="C639" s="2">
        <f>+'18O filtrado'!P610</f>
        <v>0</v>
      </c>
      <c r="D639" s="5">
        <f t="shared" si="11"/>
        <v>-1.7937464536986967</v>
      </c>
    </row>
    <row r="640" spans="1:4">
      <c r="A640" s="2">
        <f>+'18O filtrado'!C611</f>
        <v>0</v>
      </c>
      <c r="B640" s="2">
        <f>+'18O filtrado'!D611</f>
        <v>0</v>
      </c>
      <c r="C640" s="2">
        <f>+'18O filtrado'!P611</f>
        <v>0</v>
      </c>
      <c r="D640" s="5">
        <f t="shared" si="11"/>
        <v>-1.7937464536986967</v>
      </c>
    </row>
    <row r="641" spans="1:4">
      <c r="A641" s="2">
        <f>+'18O filtrado'!C612</f>
        <v>0</v>
      </c>
      <c r="B641" s="2">
        <f>+'18O filtrado'!D612</f>
        <v>0</v>
      </c>
      <c r="C641" s="2">
        <f>+'18O filtrado'!P612</f>
        <v>0</v>
      </c>
      <c r="D641" s="5">
        <f t="shared" si="11"/>
        <v>-1.7937464536986967</v>
      </c>
    </row>
    <row r="642" spans="1:4">
      <c r="A642" s="2">
        <f>+'18O filtrado'!C613</f>
        <v>0</v>
      </c>
      <c r="B642" s="2">
        <f>+'18O filtrado'!D613</f>
        <v>0</v>
      </c>
      <c r="C642" s="2">
        <f>+'18O filtrado'!P613</f>
        <v>0</v>
      </c>
      <c r="D642" s="5">
        <f t="shared" si="11"/>
        <v>-1.7937464536986967</v>
      </c>
    </row>
    <row r="643" spans="1:4">
      <c r="A643" s="2">
        <f>+'18O filtrado'!C614</f>
        <v>0</v>
      </c>
      <c r="B643" s="2">
        <f>+'18O filtrado'!D614</f>
        <v>0</v>
      </c>
      <c r="C643" s="2">
        <f>+'18O filtrado'!P614</f>
        <v>0</v>
      </c>
      <c r="D643" s="5">
        <f t="shared" si="11"/>
        <v>-1.7937464536986967</v>
      </c>
    </row>
    <row r="644" spans="1:4">
      <c r="A644" s="2">
        <f>+'18O filtrado'!C615</f>
        <v>0</v>
      </c>
      <c r="B644" s="2">
        <f>+'18O filtrado'!D615</f>
        <v>0</v>
      </c>
      <c r="C644" s="2">
        <f>+'18O filtrado'!P615</f>
        <v>0</v>
      </c>
      <c r="D644" s="5">
        <f t="shared" si="11"/>
        <v>-1.7937464536986967</v>
      </c>
    </row>
    <row r="645" spans="1:4">
      <c r="A645" s="2">
        <f>+'18O filtrado'!C616</f>
        <v>0</v>
      </c>
      <c r="B645" s="2">
        <f>+'18O filtrado'!D616</f>
        <v>0</v>
      </c>
      <c r="C645" s="2">
        <f>+'18O filtrado'!P616</f>
        <v>0</v>
      </c>
      <c r="D645" s="5">
        <f t="shared" si="11"/>
        <v>-1.7937464536986967</v>
      </c>
    </row>
    <row r="646" spans="1:4">
      <c r="A646" s="2">
        <f>+'18O filtrado'!C617</f>
        <v>0</v>
      </c>
      <c r="B646" s="2">
        <f>+'18O filtrado'!D617</f>
        <v>0</v>
      </c>
      <c r="C646" s="2">
        <f>+'18O filtrado'!P617</f>
        <v>0</v>
      </c>
      <c r="D646" s="5">
        <f t="shared" si="11"/>
        <v>-1.7937464536986967</v>
      </c>
    </row>
    <row r="647" spans="1:4">
      <c r="A647" s="2">
        <f>+'18O filtrado'!C618</f>
        <v>0</v>
      </c>
      <c r="B647" s="2">
        <f>+'18O filtrado'!D618</f>
        <v>0</v>
      </c>
      <c r="C647" s="2">
        <f>+'18O filtrado'!P618</f>
        <v>0</v>
      </c>
      <c r="D647" s="5">
        <f t="shared" si="11"/>
        <v>-1.7937464536986967</v>
      </c>
    </row>
    <row r="648" spans="1:4">
      <c r="A648" s="2">
        <f>+'18O filtrado'!C619</f>
        <v>0</v>
      </c>
      <c r="B648" s="2">
        <f>+'18O filtrado'!D619</f>
        <v>0</v>
      </c>
      <c r="C648" s="2">
        <f>+'18O filtrado'!P619</f>
        <v>0</v>
      </c>
      <c r="D648" s="5">
        <f t="shared" si="11"/>
        <v>-1.7937464536986967</v>
      </c>
    </row>
    <row r="649" spans="1:4">
      <c r="A649" s="2">
        <f>+'18O filtrado'!C620</f>
        <v>0</v>
      </c>
      <c r="B649" s="2">
        <f>+'18O filtrado'!D620</f>
        <v>0</v>
      </c>
      <c r="C649" s="2">
        <f>+'18O filtrado'!P620</f>
        <v>0</v>
      </c>
      <c r="D649" s="5">
        <f t="shared" si="11"/>
        <v>-1.7937464536986967</v>
      </c>
    </row>
    <row r="650" spans="1:4">
      <c r="A650" s="2">
        <f>+'18O filtrado'!C621</f>
        <v>0</v>
      </c>
      <c r="B650" s="2">
        <f>+'18O filtrado'!D621</f>
        <v>0</v>
      </c>
      <c r="C650" s="2">
        <f>+'18O filtrado'!P621</f>
        <v>0</v>
      </c>
      <c r="D650" s="5">
        <f t="shared" si="11"/>
        <v>-1.7937464536986967</v>
      </c>
    </row>
    <row r="651" spans="1:4">
      <c r="A651" s="2">
        <f>+'18O filtrado'!C622</f>
        <v>0</v>
      </c>
      <c r="B651" s="2">
        <f>+'18O filtrado'!D622</f>
        <v>0</v>
      </c>
      <c r="C651" s="2">
        <f>+'18O filtrado'!P622</f>
        <v>0</v>
      </c>
      <c r="D651" s="5">
        <f t="shared" si="11"/>
        <v>-1.7937464536986967</v>
      </c>
    </row>
    <row r="652" spans="1:4">
      <c r="A652" s="2">
        <f>+'18O filtrado'!C623</f>
        <v>0</v>
      </c>
      <c r="B652" s="2">
        <f>+'18O filtrado'!D623</f>
        <v>0</v>
      </c>
      <c r="C652" s="2">
        <f>+'18O filtrado'!P623</f>
        <v>0</v>
      </c>
      <c r="D652" s="5">
        <f t="shared" si="11"/>
        <v>-1.7937464536986967</v>
      </c>
    </row>
    <row r="653" spans="1:4">
      <c r="A653" s="2">
        <f>+'18O filtrado'!C624</f>
        <v>0</v>
      </c>
      <c r="B653" s="2">
        <f>+'18O filtrado'!D624</f>
        <v>0</v>
      </c>
      <c r="C653" s="2">
        <f>+'18O filtrado'!P624</f>
        <v>0</v>
      </c>
      <c r="D653" s="5">
        <f t="shared" si="11"/>
        <v>-1.7937464536986967</v>
      </c>
    </row>
    <row r="654" spans="1:4">
      <c r="A654" s="2">
        <f>+'18O filtrado'!C625</f>
        <v>0</v>
      </c>
      <c r="B654" s="2">
        <f>+'18O filtrado'!D625</f>
        <v>0</v>
      </c>
      <c r="C654" s="2">
        <f>+'18O filtrado'!P625</f>
        <v>0</v>
      </c>
      <c r="D654" s="5">
        <f t="shared" si="11"/>
        <v>-1.7937464536986967</v>
      </c>
    </row>
    <row r="655" spans="1:4">
      <c r="A655" s="2">
        <f>+'18O filtrado'!C626</f>
        <v>0</v>
      </c>
      <c r="B655" s="2">
        <f>+'18O filtrado'!D626</f>
        <v>0</v>
      </c>
      <c r="C655" s="2">
        <f>+'18O filtrado'!P626</f>
        <v>0</v>
      </c>
      <c r="D655" s="5">
        <f t="shared" si="11"/>
        <v>-1.7937464536986967</v>
      </c>
    </row>
    <row r="656" spans="1:4">
      <c r="A656" s="2">
        <f>+'18O filtrado'!C627</f>
        <v>0</v>
      </c>
      <c r="B656" s="2">
        <f>+'18O filtrado'!D627</f>
        <v>0</v>
      </c>
      <c r="C656" s="2">
        <f>+'18O filtrado'!P627</f>
        <v>0</v>
      </c>
      <c r="D656" s="5">
        <f t="shared" si="11"/>
        <v>-1.7937464536986967</v>
      </c>
    </row>
    <row r="657" spans="1:4">
      <c r="A657" s="2">
        <f>+'18O filtrado'!C628</f>
        <v>0</v>
      </c>
      <c r="B657" s="2">
        <f>+'18O filtrado'!D628</f>
        <v>0</v>
      </c>
      <c r="C657" s="2">
        <f>+'18O filtrado'!P628</f>
        <v>0</v>
      </c>
      <c r="D657" s="5">
        <f t="shared" si="11"/>
        <v>-1.7937464536986967</v>
      </c>
    </row>
    <row r="658" spans="1:4">
      <c r="A658" s="2">
        <f>+'18O filtrado'!C629</f>
        <v>0</v>
      </c>
      <c r="B658" s="2">
        <f>+'18O filtrado'!D629</f>
        <v>0</v>
      </c>
      <c r="C658" s="2">
        <f>+'18O filtrado'!P629</f>
        <v>0</v>
      </c>
      <c r="D658" s="5">
        <f t="shared" si="11"/>
        <v>-1.7937464536986967</v>
      </c>
    </row>
    <row r="659" spans="1:4">
      <c r="A659" s="2">
        <f>+'18O filtrado'!C630</f>
        <v>0</v>
      </c>
      <c r="B659" s="2">
        <f>+'18O filtrado'!D630</f>
        <v>0</v>
      </c>
      <c r="C659" s="2">
        <f>+'18O filtrado'!P630</f>
        <v>0</v>
      </c>
      <c r="D659" s="5">
        <f t="shared" si="11"/>
        <v>-1.7937464536986967</v>
      </c>
    </row>
    <row r="660" spans="1:4">
      <c r="A660" s="2">
        <f>+'18O filtrado'!C631</f>
        <v>0</v>
      </c>
      <c r="B660" s="2">
        <f>+'18O filtrado'!D631</f>
        <v>0</v>
      </c>
      <c r="C660" s="2">
        <f>+'18O filtrado'!P631</f>
        <v>0</v>
      </c>
      <c r="D660" s="5">
        <f t="shared" si="11"/>
        <v>-1.7937464536986967</v>
      </c>
    </row>
    <row r="661" spans="1:4">
      <c r="A661" s="2">
        <f>+'18O filtrado'!C632</f>
        <v>0</v>
      </c>
      <c r="B661" s="2">
        <f>+'18O filtrado'!D632</f>
        <v>0</v>
      </c>
      <c r="C661" s="2">
        <f>+'18O filtrado'!P632</f>
        <v>0</v>
      </c>
      <c r="D661" s="5">
        <f t="shared" si="11"/>
        <v>-1.7937464536986967</v>
      </c>
    </row>
    <row r="662" spans="1:4">
      <c r="A662" s="2">
        <f>+'18O filtrado'!C633</f>
        <v>0</v>
      </c>
      <c r="B662" s="2">
        <f>+'18O filtrado'!D633</f>
        <v>0</v>
      </c>
      <c r="C662" s="2">
        <f>+'18O filtrado'!P633</f>
        <v>0</v>
      </c>
      <c r="D662" s="5">
        <f t="shared" si="11"/>
        <v>-1.7937464536986967</v>
      </c>
    </row>
    <row r="663" spans="1:4">
      <c r="A663" s="2">
        <f>+'18O filtrado'!C634</f>
        <v>0</v>
      </c>
      <c r="B663" s="2">
        <f>+'18O filtrado'!D634</f>
        <v>0</v>
      </c>
      <c r="C663" s="2">
        <f>+'18O filtrado'!P634</f>
        <v>0</v>
      </c>
      <c r="D663" s="5">
        <f t="shared" si="11"/>
        <v>-1.7937464536986967</v>
      </c>
    </row>
    <row r="664" spans="1:4">
      <c r="A664" s="2">
        <f>+'18O filtrado'!C635</f>
        <v>0</v>
      </c>
      <c r="B664" s="2">
        <f>+'18O filtrado'!D635</f>
        <v>0</v>
      </c>
      <c r="C664" s="2">
        <f>+'18O filtrado'!P635</f>
        <v>0</v>
      </c>
      <c r="D664" s="5">
        <f t="shared" si="11"/>
        <v>-1.7937464536986967</v>
      </c>
    </row>
    <row r="665" spans="1:4">
      <c r="A665" s="2">
        <f>+'18O filtrado'!C636</f>
        <v>0</v>
      </c>
      <c r="B665" s="2">
        <f>+'18O filtrado'!D636</f>
        <v>0</v>
      </c>
      <c r="C665" s="2">
        <f>+'18O filtrado'!P636</f>
        <v>0</v>
      </c>
      <c r="D665" s="5">
        <f t="shared" si="11"/>
        <v>-1.7937464536986967</v>
      </c>
    </row>
    <row r="666" spans="1:4">
      <c r="A666" s="2">
        <f>+'18O filtrado'!C637</f>
        <v>0</v>
      </c>
      <c r="B666" s="2">
        <f>+'18O filtrado'!D637</f>
        <v>0</v>
      </c>
      <c r="C666" s="2">
        <f>+'18O filtrado'!P637</f>
        <v>0</v>
      </c>
      <c r="D666" s="5">
        <f t="shared" si="11"/>
        <v>-1.7937464536986967</v>
      </c>
    </row>
    <row r="667" spans="1:4">
      <c r="A667" s="2">
        <f>+'18O filtrado'!C638</f>
        <v>0</v>
      </c>
      <c r="B667" s="2">
        <f>+'18O filtrado'!D638</f>
        <v>0</v>
      </c>
      <c r="C667" s="2">
        <f>+'18O filtrado'!P638</f>
        <v>0</v>
      </c>
      <c r="D667" s="5">
        <f t="shared" si="11"/>
        <v>-1.7937464536986967</v>
      </c>
    </row>
    <row r="668" spans="1:4">
      <c r="A668" s="2">
        <f>+'18O filtrado'!C639</f>
        <v>0</v>
      </c>
      <c r="B668" s="2">
        <f>+'18O filtrado'!D639</f>
        <v>0</v>
      </c>
      <c r="C668" s="2">
        <f>+'18O filtrado'!P639</f>
        <v>0</v>
      </c>
      <c r="D668" s="5">
        <f t="shared" si="11"/>
        <v>-1.7937464536986967</v>
      </c>
    </row>
    <row r="669" spans="1:4">
      <c r="A669" s="2">
        <f>+'18O filtrado'!C640</f>
        <v>0</v>
      </c>
      <c r="B669" s="2">
        <f>+'18O filtrado'!D640</f>
        <v>0</v>
      </c>
      <c r="C669" s="2">
        <f>+'18O filtrado'!P640</f>
        <v>0</v>
      </c>
      <c r="D669" s="5">
        <f t="shared" si="11"/>
        <v>-1.7937464536986967</v>
      </c>
    </row>
    <row r="670" spans="1:4">
      <c r="A670" s="2">
        <f>+'18O filtrado'!C641</f>
        <v>0</v>
      </c>
      <c r="B670" s="2">
        <f>+'18O filtrado'!D641</f>
        <v>0</v>
      </c>
      <c r="C670" s="2">
        <f>+'18O filtrado'!P641</f>
        <v>0</v>
      </c>
      <c r="D670" s="5">
        <f t="shared" si="11"/>
        <v>-1.7937464536986967</v>
      </c>
    </row>
    <row r="671" spans="1:4">
      <c r="A671" s="2">
        <f>+'18O filtrado'!C642</f>
        <v>0</v>
      </c>
      <c r="B671" s="2">
        <f>+'18O filtrado'!D642</f>
        <v>0</v>
      </c>
      <c r="C671" s="2">
        <f>+'18O filtrado'!P642</f>
        <v>0</v>
      </c>
      <c r="D671" s="5">
        <f t="shared" si="11"/>
        <v>-1.7937464536986967</v>
      </c>
    </row>
    <row r="672" spans="1:4">
      <c r="A672" s="2">
        <f>+'18O filtrado'!C643</f>
        <v>0</v>
      </c>
      <c r="B672" s="2">
        <f>+'18O filtrado'!D643</f>
        <v>0</v>
      </c>
      <c r="C672" s="2">
        <f>+'18O filtrado'!P643</f>
        <v>0</v>
      </c>
      <c r="D672" s="5">
        <f t="shared" ref="D672:D735" si="12">+(C672-$N$22)/$N$21</f>
        <v>-1.7937464536986967</v>
      </c>
    </row>
    <row r="673" spans="1:4">
      <c r="A673" s="2">
        <f>+'18O filtrado'!C644</f>
        <v>0</v>
      </c>
      <c r="B673" s="2">
        <f>+'18O filtrado'!D644</f>
        <v>0</v>
      </c>
      <c r="C673" s="2">
        <f>+'18O filtrado'!P644</f>
        <v>0</v>
      </c>
      <c r="D673" s="5">
        <f t="shared" si="12"/>
        <v>-1.7937464536986967</v>
      </c>
    </row>
    <row r="674" spans="1:4">
      <c r="A674" s="2">
        <f>+'18O filtrado'!C645</f>
        <v>0</v>
      </c>
      <c r="B674" s="2">
        <f>+'18O filtrado'!D645</f>
        <v>0</v>
      </c>
      <c r="C674" s="2">
        <f>+'18O filtrado'!P645</f>
        <v>0</v>
      </c>
      <c r="D674" s="5">
        <f t="shared" si="12"/>
        <v>-1.7937464536986967</v>
      </c>
    </row>
    <row r="675" spans="1:4">
      <c r="A675" s="2">
        <f>+'18O filtrado'!C646</f>
        <v>0</v>
      </c>
      <c r="B675" s="2">
        <f>+'18O filtrado'!D646</f>
        <v>0</v>
      </c>
      <c r="C675" s="2">
        <f>+'18O filtrado'!P646</f>
        <v>0</v>
      </c>
      <c r="D675" s="5">
        <f t="shared" si="12"/>
        <v>-1.7937464536986967</v>
      </c>
    </row>
    <row r="676" spans="1:4">
      <c r="A676" s="2">
        <f>+'18O filtrado'!C647</f>
        <v>0</v>
      </c>
      <c r="B676" s="2">
        <f>+'18O filtrado'!D647</f>
        <v>0</v>
      </c>
      <c r="C676" s="2">
        <f>+'18O filtrado'!P647</f>
        <v>0</v>
      </c>
      <c r="D676" s="5">
        <f t="shared" si="12"/>
        <v>-1.7937464536986967</v>
      </c>
    </row>
    <row r="677" spans="1:4">
      <c r="A677" s="2">
        <f>+'18O filtrado'!C648</f>
        <v>0</v>
      </c>
      <c r="B677" s="2">
        <f>+'18O filtrado'!D648</f>
        <v>0</v>
      </c>
      <c r="C677" s="2">
        <f>+'18O filtrado'!P648</f>
        <v>0</v>
      </c>
      <c r="D677" s="5">
        <f t="shared" si="12"/>
        <v>-1.7937464536986967</v>
      </c>
    </row>
    <row r="678" spans="1:4">
      <c r="A678" s="2">
        <f>+'18O filtrado'!C649</f>
        <v>0</v>
      </c>
      <c r="B678" s="2">
        <f>+'18O filtrado'!D649</f>
        <v>0</v>
      </c>
      <c r="C678" s="2">
        <f>+'18O filtrado'!P649</f>
        <v>0</v>
      </c>
      <c r="D678" s="5">
        <f t="shared" si="12"/>
        <v>-1.7937464536986967</v>
      </c>
    </row>
    <row r="679" spans="1:4">
      <c r="A679" s="2">
        <f>+'18O filtrado'!C650</f>
        <v>0</v>
      </c>
      <c r="B679" s="2">
        <f>+'18O filtrado'!D650</f>
        <v>0</v>
      </c>
      <c r="C679" s="2">
        <f>+'18O filtrado'!P650</f>
        <v>0</v>
      </c>
      <c r="D679" s="5">
        <f t="shared" si="12"/>
        <v>-1.7937464536986967</v>
      </c>
    </row>
    <row r="680" spans="1:4">
      <c r="A680" s="2">
        <f>+'18O filtrado'!C651</f>
        <v>0</v>
      </c>
      <c r="B680" s="2">
        <f>+'18O filtrado'!D651</f>
        <v>0</v>
      </c>
      <c r="C680" s="2">
        <f>+'18O filtrado'!P651</f>
        <v>0</v>
      </c>
      <c r="D680" s="5">
        <f t="shared" si="12"/>
        <v>-1.7937464536986967</v>
      </c>
    </row>
    <row r="681" spans="1:4">
      <c r="A681" s="2">
        <f>+'18O filtrado'!C652</f>
        <v>0</v>
      </c>
      <c r="B681" s="2">
        <f>+'18O filtrado'!D652</f>
        <v>0</v>
      </c>
      <c r="C681" s="2">
        <f>+'18O filtrado'!P652</f>
        <v>0</v>
      </c>
      <c r="D681" s="5">
        <f t="shared" si="12"/>
        <v>-1.7937464536986967</v>
      </c>
    </row>
    <row r="682" spans="1:4">
      <c r="A682" s="2">
        <f>+'18O filtrado'!C653</f>
        <v>0</v>
      </c>
      <c r="B682" s="2">
        <f>+'18O filtrado'!D653</f>
        <v>0</v>
      </c>
      <c r="C682" s="2">
        <f>+'18O filtrado'!P653</f>
        <v>0</v>
      </c>
      <c r="D682" s="5">
        <f t="shared" si="12"/>
        <v>-1.7937464536986967</v>
      </c>
    </row>
    <row r="683" spans="1:4">
      <c r="A683" s="2">
        <f>+'18O filtrado'!C654</f>
        <v>0</v>
      </c>
      <c r="B683" s="2">
        <f>+'18O filtrado'!D654</f>
        <v>0</v>
      </c>
      <c r="C683" s="2">
        <f>+'18O filtrado'!P654</f>
        <v>0</v>
      </c>
      <c r="D683" s="5">
        <f t="shared" si="12"/>
        <v>-1.7937464536986967</v>
      </c>
    </row>
    <row r="684" spans="1:4">
      <c r="A684" s="2">
        <f>+'18O filtrado'!C655</f>
        <v>0</v>
      </c>
      <c r="B684" s="2">
        <f>+'18O filtrado'!D655</f>
        <v>0</v>
      </c>
      <c r="C684" s="2">
        <f>+'18O filtrado'!P655</f>
        <v>0</v>
      </c>
      <c r="D684" s="5">
        <f t="shared" si="12"/>
        <v>-1.7937464536986967</v>
      </c>
    </row>
    <row r="685" spans="1:4">
      <c r="A685" s="2">
        <f>+'18O filtrado'!C656</f>
        <v>0</v>
      </c>
      <c r="B685" s="2">
        <f>+'18O filtrado'!D656</f>
        <v>0</v>
      </c>
      <c r="C685" s="2">
        <f>+'18O filtrado'!P656</f>
        <v>0</v>
      </c>
      <c r="D685" s="5">
        <f t="shared" si="12"/>
        <v>-1.7937464536986967</v>
      </c>
    </row>
    <row r="686" spans="1:4">
      <c r="A686" s="2">
        <f>+'18O filtrado'!C657</f>
        <v>0</v>
      </c>
      <c r="B686" s="2">
        <f>+'18O filtrado'!D657</f>
        <v>0</v>
      </c>
      <c r="C686" s="2">
        <f>+'18O filtrado'!P657</f>
        <v>0</v>
      </c>
      <c r="D686" s="5">
        <f t="shared" si="12"/>
        <v>-1.7937464536986967</v>
      </c>
    </row>
    <row r="687" spans="1:4">
      <c r="A687" s="2">
        <f>+'18O filtrado'!C658</f>
        <v>0</v>
      </c>
      <c r="B687" s="2">
        <f>+'18O filtrado'!D658</f>
        <v>0</v>
      </c>
      <c r="C687" s="2">
        <f>+'18O filtrado'!P658</f>
        <v>0</v>
      </c>
      <c r="D687" s="5">
        <f t="shared" si="12"/>
        <v>-1.7937464536986967</v>
      </c>
    </row>
    <row r="688" spans="1:4">
      <c r="A688" s="2">
        <f>+'18O filtrado'!C659</f>
        <v>0</v>
      </c>
      <c r="B688" s="2">
        <f>+'18O filtrado'!D659</f>
        <v>0</v>
      </c>
      <c r="C688" s="2">
        <f>+'18O filtrado'!P659</f>
        <v>0</v>
      </c>
      <c r="D688" s="5">
        <f t="shared" si="12"/>
        <v>-1.7937464536986967</v>
      </c>
    </row>
    <row r="689" spans="1:4">
      <c r="A689" s="2">
        <f>+'18O filtrado'!C660</f>
        <v>0</v>
      </c>
      <c r="B689" s="2">
        <f>+'18O filtrado'!D660</f>
        <v>0</v>
      </c>
      <c r="C689" s="2">
        <f>+'18O filtrado'!P660</f>
        <v>0</v>
      </c>
      <c r="D689" s="5">
        <f t="shared" si="12"/>
        <v>-1.7937464536986967</v>
      </c>
    </row>
    <row r="690" spans="1:4">
      <c r="A690" s="2">
        <f>+'18O filtrado'!C661</f>
        <v>0</v>
      </c>
      <c r="B690" s="2">
        <f>+'18O filtrado'!D661</f>
        <v>0</v>
      </c>
      <c r="C690" s="2">
        <f>+'18O filtrado'!P661</f>
        <v>0</v>
      </c>
      <c r="D690" s="5">
        <f t="shared" si="12"/>
        <v>-1.7937464536986967</v>
      </c>
    </row>
    <row r="691" spans="1:4">
      <c r="A691" s="2">
        <f>+'18O filtrado'!C662</f>
        <v>0</v>
      </c>
      <c r="B691" s="2">
        <f>+'18O filtrado'!D662</f>
        <v>0</v>
      </c>
      <c r="C691" s="2">
        <f>+'18O filtrado'!P662</f>
        <v>0</v>
      </c>
      <c r="D691" s="5">
        <f t="shared" si="12"/>
        <v>-1.7937464536986967</v>
      </c>
    </row>
    <row r="692" spans="1:4">
      <c r="A692" s="2">
        <f>+'18O filtrado'!C663</f>
        <v>0</v>
      </c>
      <c r="B692" s="2">
        <f>+'18O filtrado'!D663</f>
        <v>0</v>
      </c>
      <c r="C692" s="2">
        <f>+'18O filtrado'!P663</f>
        <v>0</v>
      </c>
      <c r="D692" s="5">
        <f t="shared" si="12"/>
        <v>-1.7937464536986967</v>
      </c>
    </row>
    <row r="693" spans="1:4">
      <c r="A693" s="2">
        <f>+'18O filtrado'!C664</f>
        <v>0</v>
      </c>
      <c r="B693" s="2">
        <f>+'18O filtrado'!D664</f>
        <v>0</v>
      </c>
      <c r="C693" s="2">
        <f>+'18O filtrado'!P664</f>
        <v>0</v>
      </c>
      <c r="D693" s="5">
        <f t="shared" si="12"/>
        <v>-1.7937464536986967</v>
      </c>
    </row>
    <row r="694" spans="1:4">
      <c r="A694" s="2">
        <f>+'18O filtrado'!C665</f>
        <v>0</v>
      </c>
      <c r="B694" s="2">
        <f>+'18O filtrado'!D665</f>
        <v>0</v>
      </c>
      <c r="C694" s="2">
        <f>+'18O filtrado'!P665</f>
        <v>0</v>
      </c>
      <c r="D694" s="5">
        <f t="shared" si="12"/>
        <v>-1.7937464536986967</v>
      </c>
    </row>
    <row r="695" spans="1:4">
      <c r="A695" s="2">
        <f>+'18O filtrado'!C666</f>
        <v>0</v>
      </c>
      <c r="B695" s="2">
        <f>+'18O filtrado'!D666</f>
        <v>0</v>
      </c>
      <c r="C695" s="2">
        <f>+'18O filtrado'!P666</f>
        <v>0</v>
      </c>
      <c r="D695" s="5">
        <f t="shared" si="12"/>
        <v>-1.7937464536986967</v>
      </c>
    </row>
    <row r="696" spans="1:4">
      <c r="A696" s="2">
        <f>+'18O filtrado'!C667</f>
        <v>0</v>
      </c>
      <c r="B696" s="2">
        <f>+'18O filtrado'!D667</f>
        <v>0</v>
      </c>
      <c r="C696" s="2">
        <f>+'18O filtrado'!P667</f>
        <v>0</v>
      </c>
      <c r="D696" s="5">
        <f t="shared" si="12"/>
        <v>-1.7937464536986967</v>
      </c>
    </row>
    <row r="697" spans="1:4">
      <c r="A697" s="2">
        <f>+'18O filtrado'!C668</f>
        <v>0</v>
      </c>
      <c r="B697" s="2">
        <f>+'18O filtrado'!D668</f>
        <v>0</v>
      </c>
      <c r="C697" s="2">
        <f>+'18O filtrado'!P668</f>
        <v>0</v>
      </c>
      <c r="D697" s="5">
        <f t="shared" si="12"/>
        <v>-1.7937464536986967</v>
      </c>
    </row>
    <row r="698" spans="1:4">
      <c r="A698" s="2">
        <f>+'18O filtrado'!C669</f>
        <v>0</v>
      </c>
      <c r="B698" s="2">
        <f>+'18O filtrado'!D669</f>
        <v>0</v>
      </c>
      <c r="C698" s="2">
        <f>+'18O filtrado'!P669</f>
        <v>0</v>
      </c>
      <c r="D698" s="5">
        <f t="shared" si="12"/>
        <v>-1.7937464536986967</v>
      </c>
    </row>
    <row r="699" spans="1:4">
      <c r="A699" s="2">
        <f>+'18O filtrado'!C670</f>
        <v>0</v>
      </c>
      <c r="B699" s="2">
        <f>+'18O filtrado'!D670</f>
        <v>0</v>
      </c>
      <c r="C699" s="2">
        <f>+'18O filtrado'!P670</f>
        <v>0</v>
      </c>
      <c r="D699" s="5">
        <f t="shared" si="12"/>
        <v>-1.7937464536986967</v>
      </c>
    </row>
    <row r="700" spans="1:4">
      <c r="A700" s="2">
        <f>+'18O filtrado'!C671</f>
        <v>0</v>
      </c>
      <c r="B700" s="2">
        <f>+'18O filtrado'!D671</f>
        <v>0</v>
      </c>
      <c r="C700" s="2">
        <f>+'18O filtrado'!P671</f>
        <v>0</v>
      </c>
      <c r="D700" s="5">
        <f t="shared" si="12"/>
        <v>-1.7937464536986967</v>
      </c>
    </row>
    <row r="701" spans="1:4">
      <c r="A701" s="2">
        <f>+'18O filtrado'!C672</f>
        <v>0</v>
      </c>
      <c r="B701" s="2">
        <f>+'18O filtrado'!D672</f>
        <v>0</v>
      </c>
      <c r="C701" s="2">
        <f>+'18O filtrado'!P672</f>
        <v>0</v>
      </c>
      <c r="D701" s="5">
        <f t="shared" si="12"/>
        <v>-1.7937464536986967</v>
      </c>
    </row>
    <row r="702" spans="1:4">
      <c r="A702" s="2">
        <f>+'18O filtrado'!C673</f>
        <v>0</v>
      </c>
      <c r="B702" s="2">
        <f>+'18O filtrado'!D673</f>
        <v>0</v>
      </c>
      <c r="C702" s="2">
        <f>+'18O filtrado'!P673</f>
        <v>0</v>
      </c>
      <c r="D702" s="5">
        <f t="shared" si="12"/>
        <v>-1.7937464536986967</v>
      </c>
    </row>
    <row r="703" spans="1:4">
      <c r="A703" s="2">
        <f>+'18O filtrado'!C674</f>
        <v>0</v>
      </c>
      <c r="B703" s="2">
        <f>+'18O filtrado'!D674</f>
        <v>0</v>
      </c>
      <c r="C703" s="2">
        <f>+'18O filtrado'!P674</f>
        <v>0</v>
      </c>
      <c r="D703" s="5">
        <f t="shared" si="12"/>
        <v>-1.7937464536986967</v>
      </c>
    </row>
    <row r="704" spans="1:4">
      <c r="A704" s="2">
        <f>+'18O filtrado'!C675</f>
        <v>0</v>
      </c>
      <c r="B704" s="2">
        <f>+'18O filtrado'!D675</f>
        <v>0</v>
      </c>
      <c r="C704" s="2">
        <f>+'18O filtrado'!P675</f>
        <v>0</v>
      </c>
      <c r="D704" s="5">
        <f t="shared" si="12"/>
        <v>-1.7937464536986967</v>
      </c>
    </row>
    <row r="705" spans="1:4">
      <c r="A705" s="2">
        <f>+'18O filtrado'!C676</f>
        <v>0</v>
      </c>
      <c r="B705" s="2">
        <f>+'18O filtrado'!D676</f>
        <v>0</v>
      </c>
      <c r="C705" s="2">
        <f>+'18O filtrado'!P676</f>
        <v>0</v>
      </c>
      <c r="D705" s="5">
        <f t="shared" si="12"/>
        <v>-1.7937464536986967</v>
      </c>
    </row>
    <row r="706" spans="1:4">
      <c r="A706" s="2">
        <f>+'18O filtrado'!C677</f>
        <v>0</v>
      </c>
      <c r="B706" s="2">
        <f>+'18O filtrado'!D677</f>
        <v>0</v>
      </c>
      <c r="C706" s="2">
        <f>+'18O filtrado'!P677</f>
        <v>0</v>
      </c>
      <c r="D706" s="5">
        <f t="shared" si="12"/>
        <v>-1.7937464536986967</v>
      </c>
    </row>
    <row r="707" spans="1:4">
      <c r="A707" s="2">
        <f>+'18O filtrado'!C678</f>
        <v>0</v>
      </c>
      <c r="B707" s="2">
        <f>+'18O filtrado'!D678</f>
        <v>0</v>
      </c>
      <c r="C707" s="2">
        <f>+'18O filtrado'!P678</f>
        <v>0</v>
      </c>
      <c r="D707" s="5">
        <f t="shared" si="12"/>
        <v>-1.7937464536986967</v>
      </c>
    </row>
    <row r="708" spans="1:4">
      <c r="A708" s="2">
        <f>+'18O filtrado'!C679</f>
        <v>0</v>
      </c>
      <c r="B708" s="2">
        <f>+'18O filtrado'!D679</f>
        <v>0</v>
      </c>
      <c r="C708" s="2">
        <f>+'18O filtrado'!P679</f>
        <v>0</v>
      </c>
      <c r="D708" s="5">
        <f t="shared" si="12"/>
        <v>-1.7937464536986967</v>
      </c>
    </row>
    <row r="709" spans="1:4">
      <c r="A709" s="2">
        <f>+'18O filtrado'!C680</f>
        <v>0</v>
      </c>
      <c r="B709" s="2">
        <f>+'18O filtrado'!D680</f>
        <v>0</v>
      </c>
      <c r="C709" s="2">
        <f>+'18O filtrado'!P680</f>
        <v>0</v>
      </c>
      <c r="D709" s="5">
        <f t="shared" si="12"/>
        <v>-1.7937464536986967</v>
      </c>
    </row>
    <row r="710" spans="1:4">
      <c r="A710" s="2">
        <f>+'18O filtrado'!C681</f>
        <v>0</v>
      </c>
      <c r="B710" s="2">
        <f>+'18O filtrado'!D681</f>
        <v>0</v>
      </c>
      <c r="C710" s="2">
        <f>+'18O filtrado'!P681</f>
        <v>0</v>
      </c>
      <c r="D710" s="5">
        <f t="shared" si="12"/>
        <v>-1.7937464536986967</v>
      </c>
    </row>
    <row r="711" spans="1:4">
      <c r="A711" s="2">
        <f>+'18O filtrado'!C682</f>
        <v>0</v>
      </c>
      <c r="B711" s="2">
        <f>+'18O filtrado'!D682</f>
        <v>0</v>
      </c>
      <c r="C711" s="2">
        <f>+'18O filtrado'!P682</f>
        <v>0</v>
      </c>
      <c r="D711" s="5">
        <f t="shared" si="12"/>
        <v>-1.7937464536986967</v>
      </c>
    </row>
    <row r="712" spans="1:4">
      <c r="A712" s="2">
        <f>+'18O filtrado'!C683</f>
        <v>0</v>
      </c>
      <c r="B712" s="2">
        <f>+'18O filtrado'!D683</f>
        <v>0</v>
      </c>
      <c r="C712" s="2">
        <f>+'18O filtrado'!P683</f>
        <v>0</v>
      </c>
      <c r="D712" s="5">
        <f t="shared" si="12"/>
        <v>-1.7937464536986967</v>
      </c>
    </row>
    <row r="713" spans="1:4">
      <c r="A713" s="2">
        <f>+'18O filtrado'!C684</f>
        <v>0</v>
      </c>
      <c r="B713" s="2">
        <f>+'18O filtrado'!D684</f>
        <v>0</v>
      </c>
      <c r="C713" s="2">
        <f>+'18O filtrado'!P684</f>
        <v>0</v>
      </c>
      <c r="D713" s="5">
        <f t="shared" si="12"/>
        <v>-1.7937464536986967</v>
      </c>
    </row>
    <row r="714" spans="1:4">
      <c r="A714" s="2">
        <f>+'18O filtrado'!C685</f>
        <v>0</v>
      </c>
      <c r="B714" s="2">
        <f>+'18O filtrado'!D685</f>
        <v>0</v>
      </c>
      <c r="C714" s="2">
        <f>+'18O filtrado'!P685</f>
        <v>0</v>
      </c>
      <c r="D714" s="5">
        <f t="shared" si="12"/>
        <v>-1.7937464536986967</v>
      </c>
    </row>
    <row r="715" spans="1:4">
      <c r="A715" s="2">
        <f>+'18O filtrado'!C686</f>
        <v>0</v>
      </c>
      <c r="B715" s="2">
        <f>+'18O filtrado'!D686</f>
        <v>0</v>
      </c>
      <c r="C715" s="2">
        <f>+'18O filtrado'!P686</f>
        <v>0</v>
      </c>
      <c r="D715" s="5">
        <f t="shared" si="12"/>
        <v>-1.7937464536986967</v>
      </c>
    </row>
    <row r="716" spans="1:4">
      <c r="A716" s="2">
        <f>+'18O filtrado'!C687</f>
        <v>0</v>
      </c>
      <c r="B716" s="2">
        <f>+'18O filtrado'!D687</f>
        <v>0</v>
      </c>
      <c r="C716" s="2">
        <f>+'18O filtrado'!P687</f>
        <v>0</v>
      </c>
      <c r="D716" s="5">
        <f t="shared" si="12"/>
        <v>-1.7937464536986967</v>
      </c>
    </row>
    <row r="717" spans="1:4">
      <c r="A717" s="2">
        <f>+'18O filtrado'!C688</f>
        <v>0</v>
      </c>
      <c r="B717" s="2">
        <f>+'18O filtrado'!D688</f>
        <v>0</v>
      </c>
      <c r="C717" s="2">
        <f>+'18O filtrado'!P688</f>
        <v>0</v>
      </c>
      <c r="D717" s="5">
        <f t="shared" si="12"/>
        <v>-1.7937464536986967</v>
      </c>
    </row>
    <row r="718" spans="1:4">
      <c r="A718" s="2">
        <f>+'18O filtrado'!C689</f>
        <v>0</v>
      </c>
      <c r="B718" s="2">
        <f>+'18O filtrado'!D689</f>
        <v>0</v>
      </c>
      <c r="C718" s="2">
        <f>+'18O filtrado'!P689</f>
        <v>0</v>
      </c>
      <c r="D718" s="5">
        <f t="shared" si="12"/>
        <v>-1.7937464536986967</v>
      </c>
    </row>
    <row r="719" spans="1:4">
      <c r="A719" s="2">
        <f>+'18O filtrado'!C690</f>
        <v>0</v>
      </c>
      <c r="B719" s="2">
        <f>+'18O filtrado'!D690</f>
        <v>0</v>
      </c>
      <c r="C719" s="2">
        <f>+'18O filtrado'!P690</f>
        <v>0</v>
      </c>
      <c r="D719" s="5">
        <f t="shared" si="12"/>
        <v>-1.7937464536986967</v>
      </c>
    </row>
    <row r="720" spans="1:4">
      <c r="A720" s="2">
        <f>+'18O filtrado'!C691</f>
        <v>0</v>
      </c>
      <c r="B720" s="2">
        <f>+'18O filtrado'!D691</f>
        <v>0</v>
      </c>
      <c r="C720" s="2">
        <f>+'18O filtrado'!P691</f>
        <v>0</v>
      </c>
      <c r="D720" s="5">
        <f t="shared" si="12"/>
        <v>-1.7937464536986967</v>
      </c>
    </row>
    <row r="721" spans="1:4">
      <c r="A721" s="2">
        <f>+'18O filtrado'!C692</f>
        <v>0</v>
      </c>
      <c r="B721" s="2">
        <f>+'18O filtrado'!D692</f>
        <v>0</v>
      </c>
      <c r="C721" s="2">
        <f>+'18O filtrado'!P692</f>
        <v>0</v>
      </c>
      <c r="D721" s="5">
        <f t="shared" si="12"/>
        <v>-1.7937464536986967</v>
      </c>
    </row>
    <row r="722" spans="1:4">
      <c r="A722" s="2">
        <f>+'18O filtrado'!C693</f>
        <v>0</v>
      </c>
      <c r="B722" s="2">
        <f>+'18O filtrado'!D693</f>
        <v>0</v>
      </c>
      <c r="C722" s="2">
        <f>+'18O filtrado'!P693</f>
        <v>0</v>
      </c>
      <c r="D722" s="5">
        <f t="shared" si="12"/>
        <v>-1.7937464536986967</v>
      </c>
    </row>
    <row r="723" spans="1:4">
      <c r="A723" s="2">
        <f>+'18O filtrado'!C694</f>
        <v>0</v>
      </c>
      <c r="B723" s="2">
        <f>+'18O filtrado'!D694</f>
        <v>0</v>
      </c>
      <c r="C723" s="2">
        <f>+'18O filtrado'!P694</f>
        <v>0</v>
      </c>
      <c r="D723" s="5">
        <f t="shared" si="12"/>
        <v>-1.7937464536986967</v>
      </c>
    </row>
    <row r="724" spans="1:4">
      <c r="A724" s="2">
        <f>+'18O filtrado'!C695</f>
        <v>0</v>
      </c>
      <c r="B724" s="2">
        <f>+'18O filtrado'!D695</f>
        <v>0</v>
      </c>
      <c r="C724" s="2">
        <f>+'18O filtrado'!P695</f>
        <v>0</v>
      </c>
      <c r="D724" s="5">
        <f t="shared" si="12"/>
        <v>-1.7937464536986967</v>
      </c>
    </row>
    <row r="725" spans="1:4">
      <c r="A725" s="2">
        <f>+'18O filtrado'!C696</f>
        <v>0</v>
      </c>
      <c r="B725" s="2">
        <f>+'18O filtrado'!D696</f>
        <v>0</v>
      </c>
      <c r="C725" s="2">
        <f>+'18O filtrado'!P696</f>
        <v>0</v>
      </c>
      <c r="D725" s="5">
        <f t="shared" si="12"/>
        <v>-1.7937464536986967</v>
      </c>
    </row>
    <row r="726" spans="1:4">
      <c r="A726" s="2">
        <f>+'18O filtrado'!C697</f>
        <v>0</v>
      </c>
      <c r="B726" s="2">
        <f>+'18O filtrado'!D697</f>
        <v>0</v>
      </c>
      <c r="C726" s="2">
        <f>+'18O filtrado'!P697</f>
        <v>0</v>
      </c>
      <c r="D726" s="5">
        <f t="shared" si="12"/>
        <v>-1.7937464536986967</v>
      </c>
    </row>
    <row r="727" spans="1:4">
      <c r="A727" s="2">
        <f>+'18O filtrado'!C698</f>
        <v>0</v>
      </c>
      <c r="B727" s="2">
        <f>+'18O filtrado'!D698</f>
        <v>0</v>
      </c>
      <c r="C727" s="2">
        <f>+'18O filtrado'!P698</f>
        <v>0</v>
      </c>
      <c r="D727" s="5">
        <f t="shared" si="12"/>
        <v>-1.7937464536986967</v>
      </c>
    </row>
    <row r="728" spans="1:4">
      <c r="A728" s="2">
        <f>+'18O filtrado'!C699</f>
        <v>0</v>
      </c>
      <c r="B728" s="2">
        <f>+'18O filtrado'!D699</f>
        <v>0</v>
      </c>
      <c r="C728" s="2">
        <f>+'18O filtrado'!P699</f>
        <v>0</v>
      </c>
      <c r="D728" s="5">
        <f t="shared" si="12"/>
        <v>-1.7937464536986967</v>
      </c>
    </row>
    <row r="729" spans="1:4">
      <c r="A729" s="2">
        <f>+'18O filtrado'!C700</f>
        <v>0</v>
      </c>
      <c r="B729" s="2">
        <f>+'18O filtrado'!D700</f>
        <v>0</v>
      </c>
      <c r="C729" s="2">
        <f>+'18O filtrado'!P700</f>
        <v>0</v>
      </c>
      <c r="D729" s="5">
        <f t="shared" si="12"/>
        <v>-1.7937464536986967</v>
      </c>
    </row>
    <row r="730" spans="1:4">
      <c r="A730" s="2">
        <f>+'18O filtrado'!C701</f>
        <v>0</v>
      </c>
      <c r="B730" s="2">
        <f>+'18O filtrado'!D701</f>
        <v>0</v>
      </c>
      <c r="C730" s="2">
        <f>+'18O filtrado'!P701</f>
        <v>0</v>
      </c>
      <c r="D730" s="5">
        <f t="shared" si="12"/>
        <v>-1.7937464536986967</v>
      </c>
    </row>
    <row r="731" spans="1:4">
      <c r="A731" s="2">
        <f>+'18O filtrado'!C702</f>
        <v>0</v>
      </c>
      <c r="B731" s="2">
        <f>+'18O filtrado'!D702</f>
        <v>0</v>
      </c>
      <c r="C731" s="2">
        <f>+'18O filtrado'!P702</f>
        <v>0</v>
      </c>
      <c r="D731" s="5">
        <f t="shared" si="12"/>
        <v>-1.7937464536986967</v>
      </c>
    </row>
    <row r="732" spans="1:4">
      <c r="A732" s="2">
        <f>+'18O filtrado'!C703</f>
        <v>0</v>
      </c>
      <c r="B732" s="2">
        <f>+'18O filtrado'!D703</f>
        <v>0</v>
      </c>
      <c r="C732" s="2">
        <f>+'18O filtrado'!P703</f>
        <v>0</v>
      </c>
      <c r="D732" s="5">
        <f t="shared" si="12"/>
        <v>-1.7937464536986967</v>
      </c>
    </row>
    <row r="733" spans="1:4">
      <c r="A733" s="2">
        <f>+'18O filtrado'!C704</f>
        <v>0</v>
      </c>
      <c r="B733" s="2">
        <f>+'18O filtrado'!D704</f>
        <v>0</v>
      </c>
      <c r="C733" s="2">
        <f>+'18O filtrado'!P704</f>
        <v>0</v>
      </c>
      <c r="D733" s="5">
        <f t="shared" si="12"/>
        <v>-1.7937464536986967</v>
      </c>
    </row>
    <row r="734" spans="1:4">
      <c r="A734" s="2">
        <f>+'18O filtrado'!C705</f>
        <v>0</v>
      </c>
      <c r="B734" s="2">
        <f>+'18O filtrado'!D705</f>
        <v>0</v>
      </c>
      <c r="C734" s="2">
        <f>+'18O filtrado'!P705</f>
        <v>0</v>
      </c>
      <c r="D734" s="5">
        <f t="shared" si="12"/>
        <v>-1.7937464536986967</v>
      </c>
    </row>
    <row r="735" spans="1:4">
      <c r="A735" s="2">
        <f>+'18O filtrado'!C706</f>
        <v>0</v>
      </c>
      <c r="B735" s="2">
        <f>+'18O filtrado'!D706</f>
        <v>0</v>
      </c>
      <c r="C735" s="2">
        <f>+'18O filtrado'!P706</f>
        <v>0</v>
      </c>
      <c r="D735" s="5">
        <f t="shared" si="12"/>
        <v>-1.7937464536986967</v>
      </c>
    </row>
    <row r="736" spans="1:4">
      <c r="A736" s="2">
        <f>+'18O filtrado'!C707</f>
        <v>0</v>
      </c>
      <c r="B736" s="2">
        <f>+'18O filtrado'!D707</f>
        <v>0</v>
      </c>
      <c r="C736" s="2">
        <f>+'18O filtrado'!P707</f>
        <v>0</v>
      </c>
      <c r="D736" s="5">
        <f t="shared" ref="D736:D799" si="13">+(C736-$N$22)/$N$21</f>
        <v>-1.7937464536986967</v>
      </c>
    </row>
    <row r="737" spans="1:4">
      <c r="A737" s="2">
        <f>+'18O filtrado'!C708</f>
        <v>0</v>
      </c>
      <c r="B737" s="2">
        <f>+'18O filtrado'!D708</f>
        <v>0</v>
      </c>
      <c r="C737" s="2">
        <f>+'18O filtrado'!P708</f>
        <v>0</v>
      </c>
      <c r="D737" s="5">
        <f t="shared" si="13"/>
        <v>-1.7937464536986967</v>
      </c>
    </row>
    <row r="738" spans="1:4">
      <c r="A738" s="2">
        <f>+'18O filtrado'!C709</f>
        <v>0</v>
      </c>
      <c r="B738" s="2">
        <f>+'18O filtrado'!D709</f>
        <v>0</v>
      </c>
      <c r="C738" s="2">
        <f>+'18O filtrado'!P709</f>
        <v>0</v>
      </c>
      <c r="D738" s="5">
        <f t="shared" si="13"/>
        <v>-1.7937464536986967</v>
      </c>
    </row>
    <row r="739" spans="1:4">
      <c r="A739" s="2">
        <f>+'18O filtrado'!C710</f>
        <v>0</v>
      </c>
      <c r="B739" s="2">
        <f>+'18O filtrado'!D710</f>
        <v>0</v>
      </c>
      <c r="C739" s="2">
        <f>+'18O filtrado'!P710</f>
        <v>0</v>
      </c>
      <c r="D739" s="5">
        <f t="shared" si="13"/>
        <v>-1.7937464536986967</v>
      </c>
    </row>
    <row r="740" spans="1:4">
      <c r="A740" s="2">
        <f>+'18O filtrado'!C711</f>
        <v>0</v>
      </c>
      <c r="B740" s="2">
        <f>+'18O filtrado'!D711</f>
        <v>0</v>
      </c>
      <c r="C740" s="2">
        <f>+'18O filtrado'!P711</f>
        <v>0</v>
      </c>
      <c r="D740" s="5">
        <f t="shared" si="13"/>
        <v>-1.7937464536986967</v>
      </c>
    </row>
    <row r="741" spans="1:4">
      <c r="A741" s="2">
        <f>+'18O filtrado'!C712</f>
        <v>0</v>
      </c>
      <c r="B741" s="2">
        <f>+'18O filtrado'!D712</f>
        <v>0</v>
      </c>
      <c r="C741" s="2">
        <f>+'18O filtrado'!P712</f>
        <v>0</v>
      </c>
      <c r="D741" s="5">
        <f t="shared" si="13"/>
        <v>-1.7937464536986967</v>
      </c>
    </row>
    <row r="742" spans="1:4">
      <c r="A742" s="2">
        <f>+'18O filtrado'!C713</f>
        <v>0</v>
      </c>
      <c r="B742" s="2">
        <f>+'18O filtrado'!D713</f>
        <v>0</v>
      </c>
      <c r="C742" s="2">
        <f>+'18O filtrado'!P713</f>
        <v>0</v>
      </c>
      <c r="D742" s="5">
        <f t="shared" si="13"/>
        <v>-1.7937464536986967</v>
      </c>
    </row>
    <row r="743" spans="1:4">
      <c r="A743" s="2">
        <f>+'18O filtrado'!C714</f>
        <v>0</v>
      </c>
      <c r="B743" s="2">
        <f>+'18O filtrado'!D714</f>
        <v>0</v>
      </c>
      <c r="C743" s="2">
        <f>+'18O filtrado'!P714</f>
        <v>0</v>
      </c>
      <c r="D743" s="5">
        <f t="shared" si="13"/>
        <v>-1.7937464536986967</v>
      </c>
    </row>
    <row r="744" spans="1:4">
      <c r="A744" s="2">
        <f>+'18O filtrado'!C715</f>
        <v>0</v>
      </c>
      <c r="B744" s="2">
        <f>+'18O filtrado'!D715</f>
        <v>0</v>
      </c>
      <c r="C744" s="2">
        <f>+'18O filtrado'!P715</f>
        <v>0</v>
      </c>
      <c r="D744" s="5">
        <f t="shared" si="13"/>
        <v>-1.7937464536986967</v>
      </c>
    </row>
    <row r="745" spans="1:4">
      <c r="A745" s="2">
        <f>+'18O filtrado'!C716</f>
        <v>0</v>
      </c>
      <c r="B745" s="2">
        <f>+'18O filtrado'!D716</f>
        <v>0</v>
      </c>
      <c r="C745" s="2">
        <f>+'18O filtrado'!P716</f>
        <v>0</v>
      </c>
      <c r="D745" s="5">
        <f t="shared" si="13"/>
        <v>-1.7937464536986967</v>
      </c>
    </row>
    <row r="746" spans="1:4">
      <c r="A746" s="2">
        <f>+'18O filtrado'!C717</f>
        <v>0</v>
      </c>
      <c r="B746" s="2">
        <f>+'18O filtrado'!D717</f>
        <v>0</v>
      </c>
      <c r="C746" s="2">
        <f>+'18O filtrado'!P717</f>
        <v>0</v>
      </c>
      <c r="D746" s="5">
        <f t="shared" si="13"/>
        <v>-1.7937464536986967</v>
      </c>
    </row>
    <row r="747" spans="1:4">
      <c r="A747" s="2">
        <f>+'18O filtrado'!C718</f>
        <v>0</v>
      </c>
      <c r="B747" s="2">
        <f>+'18O filtrado'!D718</f>
        <v>0</v>
      </c>
      <c r="C747" s="2">
        <f>+'18O filtrado'!P718</f>
        <v>0</v>
      </c>
      <c r="D747" s="5">
        <f t="shared" si="13"/>
        <v>-1.7937464536986967</v>
      </c>
    </row>
    <row r="748" spans="1:4">
      <c r="A748" s="2">
        <f>+'18O filtrado'!C719</f>
        <v>0</v>
      </c>
      <c r="B748" s="2">
        <f>+'18O filtrado'!D719</f>
        <v>0</v>
      </c>
      <c r="C748" s="2">
        <f>+'18O filtrado'!P719</f>
        <v>0</v>
      </c>
      <c r="D748" s="5">
        <f t="shared" si="13"/>
        <v>-1.7937464536986967</v>
      </c>
    </row>
    <row r="749" spans="1:4">
      <c r="A749" s="2">
        <f>+'18O filtrado'!C720</f>
        <v>0</v>
      </c>
      <c r="B749" s="2">
        <f>+'18O filtrado'!D720</f>
        <v>0</v>
      </c>
      <c r="C749" s="2">
        <f>+'18O filtrado'!P720</f>
        <v>0</v>
      </c>
      <c r="D749" s="5">
        <f t="shared" si="13"/>
        <v>-1.7937464536986967</v>
      </c>
    </row>
    <row r="750" spans="1:4">
      <c r="A750" s="2">
        <f>+'18O filtrado'!C721</f>
        <v>0</v>
      </c>
      <c r="B750" s="2">
        <f>+'18O filtrado'!D721</f>
        <v>0</v>
      </c>
      <c r="C750" s="2">
        <f>+'18O filtrado'!P721</f>
        <v>0</v>
      </c>
      <c r="D750" s="5">
        <f t="shared" si="13"/>
        <v>-1.7937464536986967</v>
      </c>
    </row>
    <row r="751" spans="1:4">
      <c r="A751" s="2">
        <f>+'18O filtrado'!C722</f>
        <v>0</v>
      </c>
      <c r="B751" s="2">
        <f>+'18O filtrado'!D722</f>
        <v>0</v>
      </c>
      <c r="C751" s="2">
        <f>+'18O filtrado'!P722</f>
        <v>0</v>
      </c>
      <c r="D751" s="5">
        <f t="shared" si="13"/>
        <v>-1.7937464536986967</v>
      </c>
    </row>
    <row r="752" spans="1:4">
      <c r="A752" s="2">
        <f>+'18O filtrado'!C723</f>
        <v>0</v>
      </c>
      <c r="B752" s="2">
        <f>+'18O filtrado'!D723</f>
        <v>0</v>
      </c>
      <c r="C752" s="2">
        <f>+'18O filtrado'!P723</f>
        <v>0</v>
      </c>
      <c r="D752" s="5">
        <f t="shared" si="13"/>
        <v>-1.7937464536986967</v>
      </c>
    </row>
    <row r="753" spans="1:4">
      <c r="A753" s="2">
        <f>+'18O filtrado'!C724</f>
        <v>0</v>
      </c>
      <c r="B753" s="2">
        <f>+'18O filtrado'!D724</f>
        <v>0</v>
      </c>
      <c r="C753" s="2">
        <f>+'18O filtrado'!P724</f>
        <v>0</v>
      </c>
      <c r="D753" s="5">
        <f t="shared" si="13"/>
        <v>-1.7937464536986967</v>
      </c>
    </row>
    <row r="754" spans="1:4">
      <c r="A754" s="2">
        <f>+'18O filtrado'!C725</f>
        <v>0</v>
      </c>
      <c r="B754" s="2">
        <f>+'18O filtrado'!D725</f>
        <v>0</v>
      </c>
      <c r="C754" s="2">
        <f>+'18O filtrado'!P725</f>
        <v>0</v>
      </c>
      <c r="D754" s="5">
        <f t="shared" si="13"/>
        <v>-1.7937464536986967</v>
      </c>
    </row>
    <row r="755" spans="1:4">
      <c r="A755" s="2">
        <f>+'18O filtrado'!C726</f>
        <v>0</v>
      </c>
      <c r="B755" s="2">
        <f>+'18O filtrado'!D726</f>
        <v>0</v>
      </c>
      <c r="C755" s="2">
        <f>+'18O filtrado'!P726</f>
        <v>0</v>
      </c>
      <c r="D755" s="5">
        <f t="shared" si="13"/>
        <v>-1.7937464536986967</v>
      </c>
    </row>
    <row r="756" spans="1:4">
      <c r="A756" s="2">
        <f>+'18O filtrado'!C727</f>
        <v>0</v>
      </c>
      <c r="B756" s="2">
        <f>+'18O filtrado'!D727</f>
        <v>0</v>
      </c>
      <c r="C756" s="2">
        <f>+'18O filtrado'!P727</f>
        <v>0</v>
      </c>
      <c r="D756" s="5">
        <f t="shared" si="13"/>
        <v>-1.7937464536986967</v>
      </c>
    </row>
    <row r="757" spans="1:4">
      <c r="A757" s="2">
        <f>+'18O filtrado'!C728</f>
        <v>0</v>
      </c>
      <c r="B757" s="2">
        <f>+'18O filtrado'!D728</f>
        <v>0</v>
      </c>
      <c r="C757" s="2">
        <f>+'18O filtrado'!P728</f>
        <v>0</v>
      </c>
      <c r="D757" s="5">
        <f t="shared" si="13"/>
        <v>-1.7937464536986967</v>
      </c>
    </row>
    <row r="758" spans="1:4">
      <c r="A758" s="2">
        <f>+'18O filtrado'!C729</f>
        <v>0</v>
      </c>
      <c r="B758" s="2">
        <f>+'18O filtrado'!D729</f>
        <v>0</v>
      </c>
      <c r="C758" s="2">
        <f>+'18O filtrado'!P729</f>
        <v>0</v>
      </c>
      <c r="D758" s="5">
        <f t="shared" si="13"/>
        <v>-1.7937464536986967</v>
      </c>
    </row>
    <row r="759" spans="1:4">
      <c r="A759" s="2">
        <f>+'18O filtrado'!C730</f>
        <v>0</v>
      </c>
      <c r="B759" s="2">
        <f>+'18O filtrado'!D730</f>
        <v>0</v>
      </c>
      <c r="C759" s="2">
        <f>+'18O filtrado'!P730</f>
        <v>0</v>
      </c>
      <c r="D759" s="5">
        <f t="shared" si="13"/>
        <v>-1.7937464536986967</v>
      </c>
    </row>
    <row r="760" spans="1:4">
      <c r="A760" s="2">
        <f>+'18O filtrado'!C731</f>
        <v>0</v>
      </c>
      <c r="B760" s="2">
        <f>+'18O filtrado'!D731</f>
        <v>0</v>
      </c>
      <c r="C760" s="2">
        <f>+'18O filtrado'!P731</f>
        <v>0</v>
      </c>
      <c r="D760" s="5">
        <f t="shared" si="13"/>
        <v>-1.7937464536986967</v>
      </c>
    </row>
    <row r="761" spans="1:4">
      <c r="A761" s="2">
        <f>+'18O filtrado'!C732</f>
        <v>0</v>
      </c>
      <c r="B761" s="2">
        <f>+'18O filtrado'!D732</f>
        <v>0</v>
      </c>
      <c r="C761" s="2">
        <f>+'18O filtrado'!P732</f>
        <v>0</v>
      </c>
      <c r="D761" s="5">
        <f t="shared" si="13"/>
        <v>-1.7937464536986967</v>
      </c>
    </row>
    <row r="762" spans="1:4">
      <c r="A762" s="2">
        <f>+'18O filtrado'!C733</f>
        <v>0</v>
      </c>
      <c r="B762" s="2">
        <f>+'18O filtrado'!D733</f>
        <v>0</v>
      </c>
      <c r="C762" s="2">
        <f>+'18O filtrado'!P733</f>
        <v>0</v>
      </c>
      <c r="D762" s="5">
        <f t="shared" si="13"/>
        <v>-1.7937464536986967</v>
      </c>
    </row>
    <row r="763" spans="1:4">
      <c r="A763" s="2">
        <f>+'18O filtrado'!C734</f>
        <v>0</v>
      </c>
      <c r="B763" s="2">
        <f>+'18O filtrado'!D734</f>
        <v>0</v>
      </c>
      <c r="C763" s="2">
        <f>+'18O filtrado'!P734</f>
        <v>0</v>
      </c>
      <c r="D763" s="5">
        <f t="shared" si="13"/>
        <v>-1.7937464536986967</v>
      </c>
    </row>
    <row r="764" spans="1:4">
      <c r="A764" s="2">
        <f>+'18O filtrado'!C735</f>
        <v>0</v>
      </c>
      <c r="B764" s="2">
        <f>+'18O filtrado'!D735</f>
        <v>0</v>
      </c>
      <c r="C764" s="2">
        <f>+'18O filtrado'!P735</f>
        <v>0</v>
      </c>
      <c r="D764" s="5">
        <f t="shared" si="13"/>
        <v>-1.7937464536986967</v>
      </c>
    </row>
    <row r="765" spans="1:4">
      <c r="A765" s="2">
        <f>+'18O filtrado'!C736</f>
        <v>0</v>
      </c>
      <c r="B765" s="2">
        <f>+'18O filtrado'!D736</f>
        <v>0</v>
      </c>
      <c r="C765" s="2">
        <f>+'18O filtrado'!P736</f>
        <v>0</v>
      </c>
      <c r="D765" s="5">
        <f t="shared" si="13"/>
        <v>-1.7937464536986967</v>
      </c>
    </row>
    <row r="766" spans="1:4">
      <c r="A766" s="2">
        <f>+'18O filtrado'!C737</f>
        <v>0</v>
      </c>
      <c r="B766" s="2">
        <f>+'18O filtrado'!D737</f>
        <v>0</v>
      </c>
      <c r="C766" s="2">
        <f>+'18O filtrado'!P737</f>
        <v>0</v>
      </c>
      <c r="D766" s="5">
        <f t="shared" si="13"/>
        <v>-1.7937464536986967</v>
      </c>
    </row>
    <row r="767" spans="1:4">
      <c r="A767" s="2">
        <f>+'18O filtrado'!C738</f>
        <v>0</v>
      </c>
      <c r="B767" s="2">
        <f>+'18O filtrado'!D738</f>
        <v>0</v>
      </c>
      <c r="C767" s="2">
        <f>+'18O filtrado'!P738</f>
        <v>0</v>
      </c>
      <c r="D767" s="5">
        <f t="shared" si="13"/>
        <v>-1.7937464536986967</v>
      </c>
    </row>
    <row r="768" spans="1:4">
      <c r="A768" s="2">
        <f>+'18O filtrado'!C739</f>
        <v>0</v>
      </c>
      <c r="B768" s="2">
        <f>+'18O filtrado'!D739</f>
        <v>0</v>
      </c>
      <c r="C768" s="2">
        <f>+'18O filtrado'!P739</f>
        <v>0</v>
      </c>
      <c r="D768" s="5">
        <f t="shared" si="13"/>
        <v>-1.7937464536986967</v>
      </c>
    </row>
    <row r="769" spans="1:4">
      <c r="A769" s="2">
        <f>+'18O filtrado'!C740</f>
        <v>0</v>
      </c>
      <c r="B769" s="2">
        <f>+'18O filtrado'!D740</f>
        <v>0</v>
      </c>
      <c r="C769" s="2">
        <f>+'18O filtrado'!P740</f>
        <v>0</v>
      </c>
      <c r="D769" s="5">
        <f t="shared" si="13"/>
        <v>-1.7937464536986967</v>
      </c>
    </row>
    <row r="770" spans="1:4">
      <c r="A770" s="2">
        <f>+'18O filtrado'!C741</f>
        <v>0</v>
      </c>
      <c r="B770" s="2">
        <f>+'18O filtrado'!D741</f>
        <v>0</v>
      </c>
      <c r="C770" s="2">
        <f>+'18O filtrado'!P741</f>
        <v>0</v>
      </c>
      <c r="D770" s="5">
        <f t="shared" si="13"/>
        <v>-1.7937464536986967</v>
      </c>
    </row>
    <row r="771" spans="1:4">
      <c r="A771" s="2">
        <f>+'18O filtrado'!C742</f>
        <v>0</v>
      </c>
      <c r="B771" s="2">
        <f>+'18O filtrado'!D742</f>
        <v>0</v>
      </c>
      <c r="C771" s="2">
        <f>+'18O filtrado'!P742</f>
        <v>0</v>
      </c>
      <c r="D771" s="5">
        <f t="shared" si="13"/>
        <v>-1.7937464536986967</v>
      </c>
    </row>
    <row r="772" spans="1:4">
      <c r="A772" s="2">
        <f>+'18O filtrado'!C743</f>
        <v>0</v>
      </c>
      <c r="B772" s="2">
        <f>+'18O filtrado'!D743</f>
        <v>0</v>
      </c>
      <c r="C772" s="2">
        <f>+'18O filtrado'!P743</f>
        <v>0</v>
      </c>
      <c r="D772" s="5">
        <f t="shared" si="13"/>
        <v>-1.7937464536986967</v>
      </c>
    </row>
    <row r="773" spans="1:4">
      <c r="A773" s="2">
        <f>+'18O filtrado'!C744</f>
        <v>0</v>
      </c>
      <c r="B773" s="2">
        <f>+'18O filtrado'!D744</f>
        <v>0</v>
      </c>
      <c r="C773" s="2">
        <f>+'18O filtrado'!P744</f>
        <v>0</v>
      </c>
      <c r="D773" s="5">
        <f t="shared" si="13"/>
        <v>-1.7937464536986967</v>
      </c>
    </row>
    <row r="774" spans="1:4">
      <c r="A774" s="2">
        <f>+'18O filtrado'!C745</f>
        <v>0</v>
      </c>
      <c r="B774" s="2">
        <f>+'18O filtrado'!D745</f>
        <v>0</v>
      </c>
      <c r="C774" s="2">
        <f>+'18O filtrado'!P745</f>
        <v>0</v>
      </c>
      <c r="D774" s="5">
        <f t="shared" si="13"/>
        <v>-1.7937464536986967</v>
      </c>
    </row>
    <row r="775" spans="1:4">
      <c r="A775" s="2">
        <f>+'18O filtrado'!C746</f>
        <v>0</v>
      </c>
      <c r="B775" s="2">
        <f>+'18O filtrado'!D746</f>
        <v>0</v>
      </c>
      <c r="C775" s="2">
        <f>+'18O filtrado'!P746</f>
        <v>0</v>
      </c>
      <c r="D775" s="5">
        <f t="shared" si="13"/>
        <v>-1.7937464536986967</v>
      </c>
    </row>
    <row r="776" spans="1:4">
      <c r="A776" s="2">
        <f>+'18O filtrado'!C747</f>
        <v>0</v>
      </c>
      <c r="B776" s="2">
        <f>+'18O filtrado'!D747</f>
        <v>0</v>
      </c>
      <c r="C776" s="2">
        <f>+'18O filtrado'!P747</f>
        <v>0</v>
      </c>
      <c r="D776" s="5">
        <f t="shared" si="13"/>
        <v>-1.7937464536986967</v>
      </c>
    </row>
    <row r="777" spans="1:4">
      <c r="A777" s="2">
        <f>+'18O filtrado'!C748</f>
        <v>0</v>
      </c>
      <c r="B777" s="2">
        <f>+'18O filtrado'!D748</f>
        <v>0</v>
      </c>
      <c r="C777" s="2">
        <f>+'18O filtrado'!P748</f>
        <v>0</v>
      </c>
      <c r="D777" s="5">
        <f t="shared" si="13"/>
        <v>-1.7937464536986967</v>
      </c>
    </row>
    <row r="778" spans="1:4">
      <c r="A778" s="2">
        <f>+'18O filtrado'!C749</f>
        <v>0</v>
      </c>
      <c r="B778" s="2">
        <f>+'18O filtrado'!D749</f>
        <v>0</v>
      </c>
      <c r="C778" s="2">
        <f>+'18O filtrado'!P749</f>
        <v>0</v>
      </c>
      <c r="D778" s="5">
        <f t="shared" si="13"/>
        <v>-1.7937464536986967</v>
      </c>
    </row>
    <row r="779" spans="1:4">
      <c r="A779" s="2">
        <f>+'18O filtrado'!C750</f>
        <v>0</v>
      </c>
      <c r="B779" s="2">
        <f>+'18O filtrado'!D750</f>
        <v>0</v>
      </c>
      <c r="C779" s="2">
        <f>+'18O filtrado'!P750</f>
        <v>0</v>
      </c>
      <c r="D779" s="5">
        <f t="shared" si="13"/>
        <v>-1.7937464536986967</v>
      </c>
    </row>
    <row r="780" spans="1:4">
      <c r="A780" s="2">
        <f>+'18O filtrado'!C751</f>
        <v>0</v>
      </c>
      <c r="B780" s="2">
        <f>+'18O filtrado'!D751</f>
        <v>0</v>
      </c>
      <c r="C780" s="2">
        <f>+'18O filtrado'!P751</f>
        <v>0</v>
      </c>
      <c r="D780" s="5">
        <f t="shared" si="13"/>
        <v>-1.7937464536986967</v>
      </c>
    </row>
    <row r="781" spans="1:4">
      <c r="A781" s="2">
        <f>+'18O filtrado'!C752</f>
        <v>0</v>
      </c>
      <c r="B781" s="2">
        <f>+'18O filtrado'!D752</f>
        <v>0</v>
      </c>
      <c r="C781" s="2">
        <f>+'18O filtrado'!P752</f>
        <v>0</v>
      </c>
      <c r="D781" s="5">
        <f t="shared" si="13"/>
        <v>-1.7937464536986967</v>
      </c>
    </row>
    <row r="782" spans="1:4">
      <c r="A782" s="2">
        <f>+'18O filtrado'!C753</f>
        <v>0</v>
      </c>
      <c r="B782" s="2">
        <f>+'18O filtrado'!D753</f>
        <v>0</v>
      </c>
      <c r="C782" s="2">
        <f>+'18O filtrado'!P753</f>
        <v>0</v>
      </c>
      <c r="D782" s="5">
        <f t="shared" si="13"/>
        <v>-1.7937464536986967</v>
      </c>
    </row>
    <row r="783" spans="1:4">
      <c r="A783" s="2">
        <f>+'18O filtrado'!C754</f>
        <v>0</v>
      </c>
      <c r="B783" s="2">
        <f>+'18O filtrado'!D754</f>
        <v>0</v>
      </c>
      <c r="C783" s="2">
        <f>+'18O filtrado'!P754</f>
        <v>0</v>
      </c>
      <c r="D783" s="5">
        <f t="shared" si="13"/>
        <v>-1.7937464536986967</v>
      </c>
    </row>
    <row r="784" spans="1:4">
      <c r="A784" s="2">
        <f>+'18O filtrado'!C755</f>
        <v>0</v>
      </c>
      <c r="B784" s="2">
        <f>+'18O filtrado'!D755</f>
        <v>0</v>
      </c>
      <c r="C784" s="2">
        <f>+'18O filtrado'!P755</f>
        <v>0</v>
      </c>
      <c r="D784" s="5">
        <f t="shared" si="13"/>
        <v>-1.7937464536986967</v>
      </c>
    </row>
    <row r="785" spans="1:4">
      <c r="A785" s="2">
        <f>+'18O filtrado'!C756</f>
        <v>0</v>
      </c>
      <c r="B785" s="2">
        <f>+'18O filtrado'!D756</f>
        <v>0</v>
      </c>
      <c r="C785" s="2">
        <f>+'18O filtrado'!P756</f>
        <v>0</v>
      </c>
      <c r="D785" s="5">
        <f t="shared" si="13"/>
        <v>-1.7937464536986967</v>
      </c>
    </row>
    <row r="786" spans="1:4">
      <c r="A786" s="2">
        <f>+'18O filtrado'!C757</f>
        <v>0</v>
      </c>
      <c r="B786" s="2">
        <f>+'18O filtrado'!D757</f>
        <v>0</v>
      </c>
      <c r="C786" s="2">
        <f>+'18O filtrado'!P757</f>
        <v>0</v>
      </c>
      <c r="D786" s="5">
        <f t="shared" si="13"/>
        <v>-1.7937464536986967</v>
      </c>
    </row>
    <row r="787" spans="1:4">
      <c r="A787" s="2">
        <f>+'18O filtrado'!C758</f>
        <v>0</v>
      </c>
      <c r="B787" s="2">
        <f>+'18O filtrado'!D758</f>
        <v>0</v>
      </c>
      <c r="C787" s="2">
        <f>+'18O filtrado'!P758</f>
        <v>0</v>
      </c>
      <c r="D787" s="5">
        <f t="shared" si="13"/>
        <v>-1.7937464536986967</v>
      </c>
    </row>
    <row r="788" spans="1:4">
      <c r="A788" s="2">
        <f>+'18O filtrado'!C759</f>
        <v>0</v>
      </c>
      <c r="B788" s="2">
        <f>+'18O filtrado'!D759</f>
        <v>0</v>
      </c>
      <c r="C788" s="2">
        <f>+'18O filtrado'!P759</f>
        <v>0</v>
      </c>
      <c r="D788" s="5">
        <f t="shared" si="13"/>
        <v>-1.7937464536986967</v>
      </c>
    </row>
    <row r="789" spans="1:4">
      <c r="A789" s="2">
        <f>+'18O filtrado'!C760</f>
        <v>0</v>
      </c>
      <c r="B789" s="2">
        <f>+'18O filtrado'!D760</f>
        <v>0</v>
      </c>
      <c r="C789" s="2">
        <f>+'18O filtrado'!P760</f>
        <v>0</v>
      </c>
      <c r="D789" s="5">
        <f t="shared" si="13"/>
        <v>-1.7937464536986967</v>
      </c>
    </row>
    <row r="790" spans="1:4">
      <c r="A790" s="2">
        <f>+'18O filtrado'!C761</f>
        <v>0</v>
      </c>
      <c r="B790" s="2">
        <f>+'18O filtrado'!D761</f>
        <v>0</v>
      </c>
      <c r="C790" s="2">
        <f>+'18O filtrado'!P761</f>
        <v>0</v>
      </c>
      <c r="D790" s="5">
        <f t="shared" si="13"/>
        <v>-1.7937464536986967</v>
      </c>
    </row>
    <row r="791" spans="1:4">
      <c r="A791" s="2">
        <f>+'18O filtrado'!C762</f>
        <v>0</v>
      </c>
      <c r="B791" s="2">
        <f>+'18O filtrado'!D762</f>
        <v>0</v>
      </c>
      <c r="C791" s="2">
        <f>+'18O filtrado'!P762</f>
        <v>0</v>
      </c>
      <c r="D791" s="5">
        <f t="shared" si="13"/>
        <v>-1.7937464536986967</v>
      </c>
    </row>
    <row r="792" spans="1:4">
      <c r="A792" s="2">
        <f>+'18O filtrado'!C763</f>
        <v>0</v>
      </c>
      <c r="B792" s="2">
        <f>+'18O filtrado'!D763</f>
        <v>0</v>
      </c>
      <c r="C792" s="2">
        <f>+'18O filtrado'!P763</f>
        <v>0</v>
      </c>
      <c r="D792" s="5">
        <f t="shared" si="13"/>
        <v>-1.7937464536986967</v>
      </c>
    </row>
    <row r="793" spans="1:4">
      <c r="A793" s="2">
        <f>+'18O filtrado'!C764</f>
        <v>0</v>
      </c>
      <c r="B793" s="2">
        <f>+'18O filtrado'!D764</f>
        <v>0</v>
      </c>
      <c r="C793" s="2">
        <f>+'18O filtrado'!P764</f>
        <v>0</v>
      </c>
      <c r="D793" s="5">
        <f t="shared" si="13"/>
        <v>-1.7937464536986967</v>
      </c>
    </row>
    <row r="794" spans="1:4">
      <c r="A794" s="2">
        <f>+'18O filtrado'!C765</f>
        <v>0</v>
      </c>
      <c r="B794" s="2">
        <f>+'18O filtrado'!D765</f>
        <v>0</v>
      </c>
      <c r="C794" s="2">
        <f>+'18O filtrado'!P765</f>
        <v>0</v>
      </c>
      <c r="D794" s="5">
        <f t="shared" si="13"/>
        <v>-1.7937464536986967</v>
      </c>
    </row>
    <row r="795" spans="1:4">
      <c r="A795" s="2">
        <f>+'18O filtrado'!C766</f>
        <v>0</v>
      </c>
      <c r="B795" s="2">
        <f>+'18O filtrado'!D766</f>
        <v>0</v>
      </c>
      <c r="C795" s="2">
        <f>+'18O filtrado'!P766</f>
        <v>0</v>
      </c>
      <c r="D795" s="5">
        <f t="shared" si="13"/>
        <v>-1.7937464536986967</v>
      </c>
    </row>
    <row r="796" spans="1:4">
      <c r="A796" s="2">
        <f>+'18O filtrado'!C767</f>
        <v>0</v>
      </c>
      <c r="B796" s="2">
        <f>+'18O filtrado'!D767</f>
        <v>0</v>
      </c>
      <c r="C796" s="2">
        <f>+'18O filtrado'!P767</f>
        <v>0</v>
      </c>
      <c r="D796" s="5">
        <f t="shared" si="13"/>
        <v>-1.7937464536986967</v>
      </c>
    </row>
    <row r="797" spans="1:4">
      <c r="A797" s="2">
        <f>+'18O filtrado'!C768</f>
        <v>0</v>
      </c>
      <c r="B797" s="2">
        <f>+'18O filtrado'!D768</f>
        <v>0</v>
      </c>
      <c r="C797" s="2">
        <f>+'18O filtrado'!P768</f>
        <v>0</v>
      </c>
      <c r="D797" s="5">
        <f t="shared" si="13"/>
        <v>-1.7937464536986967</v>
      </c>
    </row>
    <row r="798" spans="1:4">
      <c r="A798" s="2">
        <f>+'18O filtrado'!C769</f>
        <v>0</v>
      </c>
      <c r="B798" s="2">
        <f>+'18O filtrado'!D769</f>
        <v>0</v>
      </c>
      <c r="C798" s="2">
        <f>+'18O filtrado'!P769</f>
        <v>0</v>
      </c>
      <c r="D798" s="5">
        <f t="shared" si="13"/>
        <v>-1.7937464536986967</v>
      </c>
    </row>
    <row r="799" spans="1:4">
      <c r="A799" s="2">
        <f>+'18O filtrado'!C770</f>
        <v>0</v>
      </c>
      <c r="B799" s="2">
        <f>+'18O filtrado'!D770</f>
        <v>0</v>
      </c>
      <c r="C799" s="2">
        <f>+'18O filtrado'!P770</f>
        <v>0</v>
      </c>
      <c r="D799" s="5">
        <f t="shared" si="13"/>
        <v>-1.7937464536986967</v>
      </c>
    </row>
    <row r="800" spans="1:4">
      <c r="A800" s="2">
        <f>+'18O filtrado'!C771</f>
        <v>0</v>
      </c>
      <c r="B800" s="2">
        <f>+'18O filtrado'!D771</f>
        <v>0</v>
      </c>
      <c r="C800" s="2">
        <f>+'18O filtrado'!P771</f>
        <v>0</v>
      </c>
      <c r="D800" s="5">
        <f t="shared" ref="D800:D859" si="14">+(C800-$N$22)/$N$21</f>
        <v>-1.7937464536986967</v>
      </c>
    </row>
    <row r="801" spans="1:4">
      <c r="A801" s="2">
        <f>+'18O filtrado'!C772</f>
        <v>0</v>
      </c>
      <c r="B801" s="2">
        <f>+'18O filtrado'!D772</f>
        <v>0</v>
      </c>
      <c r="C801" s="2">
        <f>+'18O filtrado'!P772</f>
        <v>0</v>
      </c>
      <c r="D801" s="5">
        <f t="shared" si="14"/>
        <v>-1.7937464536986967</v>
      </c>
    </row>
    <row r="802" spans="1:4">
      <c r="A802" s="2">
        <f>+'18O filtrado'!C773</f>
        <v>0</v>
      </c>
      <c r="B802" s="2">
        <f>+'18O filtrado'!D773</f>
        <v>0</v>
      </c>
      <c r="C802" s="2">
        <f>+'18O filtrado'!P773</f>
        <v>0</v>
      </c>
      <c r="D802" s="5">
        <f t="shared" si="14"/>
        <v>-1.7937464536986967</v>
      </c>
    </row>
    <row r="803" spans="1:4">
      <c r="A803" s="2">
        <f>+'18O filtrado'!C774</f>
        <v>0</v>
      </c>
      <c r="B803" s="2">
        <f>+'18O filtrado'!D774</f>
        <v>0</v>
      </c>
      <c r="C803" s="2">
        <f>+'18O filtrado'!P774</f>
        <v>0</v>
      </c>
      <c r="D803" s="5">
        <f t="shared" si="14"/>
        <v>-1.7937464536986967</v>
      </c>
    </row>
    <row r="804" spans="1:4">
      <c r="A804" s="2">
        <f>+'18O filtrado'!C775</f>
        <v>0</v>
      </c>
      <c r="B804" s="2">
        <f>+'18O filtrado'!D775</f>
        <v>0</v>
      </c>
      <c r="C804" s="2">
        <f>+'18O filtrado'!P775</f>
        <v>0</v>
      </c>
      <c r="D804" s="5">
        <f t="shared" si="14"/>
        <v>-1.7937464536986967</v>
      </c>
    </row>
    <row r="805" spans="1:4">
      <c r="A805" s="2">
        <f>+'18O filtrado'!C776</f>
        <v>0</v>
      </c>
      <c r="B805" s="2">
        <f>+'18O filtrado'!D776</f>
        <v>0</v>
      </c>
      <c r="C805" s="2">
        <f>+'18O filtrado'!P776</f>
        <v>0</v>
      </c>
      <c r="D805" s="5">
        <f t="shared" si="14"/>
        <v>-1.7937464536986967</v>
      </c>
    </row>
    <row r="806" spans="1:4">
      <c r="A806" s="2">
        <f>+'18O filtrado'!C777</f>
        <v>0</v>
      </c>
      <c r="B806" s="2">
        <f>+'18O filtrado'!D777</f>
        <v>0</v>
      </c>
      <c r="C806" s="2">
        <f>+'18O filtrado'!P777</f>
        <v>0</v>
      </c>
      <c r="D806" s="5">
        <f t="shared" si="14"/>
        <v>-1.7937464536986967</v>
      </c>
    </row>
    <row r="807" spans="1:4">
      <c r="A807" s="2">
        <f>+'18O filtrado'!C778</f>
        <v>0</v>
      </c>
      <c r="B807" s="2">
        <f>+'18O filtrado'!D778</f>
        <v>0</v>
      </c>
      <c r="C807" s="2">
        <f>+'18O filtrado'!P778</f>
        <v>0</v>
      </c>
      <c r="D807" s="5">
        <f t="shared" si="14"/>
        <v>-1.7937464536986967</v>
      </c>
    </row>
    <row r="808" spans="1:4">
      <c r="A808" s="2">
        <f>+'18O filtrado'!C779</f>
        <v>0</v>
      </c>
      <c r="B808" s="2">
        <f>+'18O filtrado'!D779</f>
        <v>0</v>
      </c>
      <c r="C808" s="2">
        <f>+'18O filtrado'!P779</f>
        <v>0</v>
      </c>
      <c r="D808" s="5">
        <f t="shared" si="14"/>
        <v>-1.7937464536986967</v>
      </c>
    </row>
    <row r="809" spans="1:4">
      <c r="A809" s="2">
        <f>+'18O filtrado'!C780</f>
        <v>0</v>
      </c>
      <c r="B809" s="2">
        <f>+'18O filtrado'!D780</f>
        <v>0</v>
      </c>
      <c r="C809" s="2">
        <f>+'18O filtrado'!P780</f>
        <v>0</v>
      </c>
      <c r="D809" s="5">
        <f t="shared" si="14"/>
        <v>-1.7937464536986967</v>
      </c>
    </row>
    <row r="810" spans="1:4">
      <c r="A810" s="2">
        <f>+'18O filtrado'!C781</f>
        <v>0</v>
      </c>
      <c r="B810" s="2">
        <f>+'18O filtrado'!D781</f>
        <v>0</v>
      </c>
      <c r="C810" s="2">
        <f>+'18O filtrado'!P781</f>
        <v>0</v>
      </c>
      <c r="D810" s="5">
        <f t="shared" si="14"/>
        <v>-1.7937464536986967</v>
      </c>
    </row>
    <row r="811" spans="1:4">
      <c r="A811" s="2">
        <f>+'18O filtrado'!C782</f>
        <v>0</v>
      </c>
      <c r="B811" s="2">
        <f>+'18O filtrado'!D782</f>
        <v>0</v>
      </c>
      <c r="C811" s="2">
        <f>+'18O filtrado'!P782</f>
        <v>0</v>
      </c>
      <c r="D811" s="5">
        <f t="shared" si="14"/>
        <v>-1.7937464536986967</v>
      </c>
    </row>
    <row r="812" spans="1:4">
      <c r="A812" s="2">
        <f>+'18O filtrado'!C783</f>
        <v>0</v>
      </c>
      <c r="B812" s="2">
        <f>+'18O filtrado'!D783</f>
        <v>0</v>
      </c>
      <c r="C812" s="2">
        <f>+'18O filtrado'!P783</f>
        <v>0</v>
      </c>
      <c r="D812" s="5">
        <f t="shared" si="14"/>
        <v>-1.7937464536986967</v>
      </c>
    </row>
    <row r="813" spans="1:4">
      <c r="A813" s="2">
        <f>+'18O filtrado'!C784</f>
        <v>0</v>
      </c>
      <c r="B813" s="2">
        <f>+'18O filtrado'!D784</f>
        <v>0</v>
      </c>
      <c r="C813" s="2">
        <f>+'18O filtrado'!P784</f>
        <v>0</v>
      </c>
      <c r="D813" s="5">
        <f t="shared" si="14"/>
        <v>-1.7937464536986967</v>
      </c>
    </row>
    <row r="814" spans="1:4">
      <c r="A814" s="2">
        <f>+'18O filtrado'!C785</f>
        <v>0</v>
      </c>
      <c r="B814" s="2">
        <f>+'18O filtrado'!D785</f>
        <v>0</v>
      </c>
      <c r="C814" s="2">
        <f>+'18O filtrado'!P785</f>
        <v>0</v>
      </c>
      <c r="D814" s="5">
        <f t="shared" si="14"/>
        <v>-1.7937464536986967</v>
      </c>
    </row>
    <row r="815" spans="1:4">
      <c r="A815" s="2">
        <f>+'18O filtrado'!C786</f>
        <v>0</v>
      </c>
      <c r="B815" s="2">
        <f>+'18O filtrado'!D786</f>
        <v>0</v>
      </c>
      <c r="C815" s="2">
        <f>+'18O filtrado'!P786</f>
        <v>0</v>
      </c>
      <c r="D815" s="5">
        <f t="shared" si="14"/>
        <v>-1.7937464536986967</v>
      </c>
    </row>
    <row r="816" spans="1:4">
      <c r="A816" s="2">
        <f>+'18O filtrado'!C787</f>
        <v>0</v>
      </c>
      <c r="B816" s="2">
        <f>+'18O filtrado'!D787</f>
        <v>0</v>
      </c>
      <c r="C816" s="2">
        <f>+'18O filtrado'!P787</f>
        <v>0</v>
      </c>
      <c r="D816" s="5">
        <f t="shared" si="14"/>
        <v>-1.7937464536986967</v>
      </c>
    </row>
    <row r="817" spans="1:4">
      <c r="A817" s="2">
        <f>+'18O filtrado'!C788</f>
        <v>0</v>
      </c>
      <c r="B817" s="2">
        <f>+'18O filtrado'!D788</f>
        <v>0</v>
      </c>
      <c r="C817" s="2">
        <f>+'18O filtrado'!P788</f>
        <v>0</v>
      </c>
      <c r="D817" s="5">
        <f t="shared" si="14"/>
        <v>-1.7937464536986967</v>
      </c>
    </row>
    <row r="818" spans="1:4">
      <c r="A818" s="2">
        <f>+'18O filtrado'!C789</f>
        <v>0</v>
      </c>
      <c r="B818" s="2">
        <f>+'18O filtrado'!D789</f>
        <v>0</v>
      </c>
      <c r="C818" s="2">
        <f>+'18O filtrado'!P789</f>
        <v>0</v>
      </c>
      <c r="D818" s="5">
        <f t="shared" si="14"/>
        <v>-1.7937464536986967</v>
      </c>
    </row>
    <row r="819" spans="1:4">
      <c r="A819" s="2">
        <f>+'18O filtrado'!C790</f>
        <v>0</v>
      </c>
      <c r="B819" s="2">
        <f>+'18O filtrado'!D790</f>
        <v>0</v>
      </c>
      <c r="C819" s="2">
        <f>+'18O filtrado'!P790</f>
        <v>0</v>
      </c>
      <c r="D819" s="5">
        <f t="shared" si="14"/>
        <v>-1.7937464536986967</v>
      </c>
    </row>
    <row r="820" spans="1:4">
      <c r="A820" s="2">
        <f>+'18O filtrado'!C791</f>
        <v>0</v>
      </c>
      <c r="B820" s="2">
        <f>+'18O filtrado'!D791</f>
        <v>0</v>
      </c>
      <c r="C820" s="2">
        <f>+'18O filtrado'!P791</f>
        <v>0</v>
      </c>
      <c r="D820" s="5">
        <f t="shared" si="14"/>
        <v>-1.7937464536986967</v>
      </c>
    </row>
    <row r="821" spans="1:4">
      <c r="A821" s="2">
        <f>+'18O filtrado'!C792</f>
        <v>0</v>
      </c>
      <c r="B821" s="2">
        <f>+'18O filtrado'!D792</f>
        <v>0</v>
      </c>
      <c r="C821" s="2">
        <f>+'18O filtrado'!P792</f>
        <v>0</v>
      </c>
      <c r="D821" s="5">
        <f t="shared" si="14"/>
        <v>-1.7937464536986967</v>
      </c>
    </row>
    <row r="822" spans="1:4">
      <c r="A822" s="2">
        <f>+'18O filtrado'!C793</f>
        <v>0</v>
      </c>
      <c r="B822" s="2">
        <f>+'18O filtrado'!D793</f>
        <v>0</v>
      </c>
      <c r="C822" s="2">
        <f>+'18O filtrado'!P793</f>
        <v>0</v>
      </c>
      <c r="D822" s="5">
        <f t="shared" si="14"/>
        <v>-1.7937464536986967</v>
      </c>
    </row>
    <row r="823" spans="1:4">
      <c r="A823" s="2">
        <f>+'18O filtrado'!C794</f>
        <v>0</v>
      </c>
      <c r="B823" s="2">
        <f>+'18O filtrado'!D794</f>
        <v>0</v>
      </c>
      <c r="C823" s="2">
        <f>+'18O filtrado'!P794</f>
        <v>0</v>
      </c>
      <c r="D823" s="5">
        <f t="shared" si="14"/>
        <v>-1.7937464536986967</v>
      </c>
    </row>
    <row r="824" spans="1:4">
      <c r="A824" s="2">
        <f>+'18O filtrado'!C795</f>
        <v>0</v>
      </c>
      <c r="B824" s="2">
        <f>+'18O filtrado'!D795</f>
        <v>0</v>
      </c>
      <c r="C824" s="2">
        <f>+'18O filtrado'!P795</f>
        <v>0</v>
      </c>
      <c r="D824" s="5">
        <f t="shared" si="14"/>
        <v>-1.7937464536986967</v>
      </c>
    </row>
    <row r="825" spans="1:4">
      <c r="A825" s="2">
        <f>+'18O filtrado'!C796</f>
        <v>0</v>
      </c>
      <c r="B825" s="2">
        <f>+'18O filtrado'!D796</f>
        <v>0</v>
      </c>
      <c r="C825" s="2">
        <f>+'18O filtrado'!P796</f>
        <v>0</v>
      </c>
      <c r="D825" s="5">
        <f t="shared" si="14"/>
        <v>-1.7937464536986967</v>
      </c>
    </row>
    <row r="826" spans="1:4">
      <c r="A826" s="2">
        <f>+'18O filtrado'!C797</f>
        <v>0</v>
      </c>
      <c r="B826" s="2">
        <f>+'18O filtrado'!D797</f>
        <v>0</v>
      </c>
      <c r="C826" s="2">
        <f>+'18O filtrado'!P797</f>
        <v>0</v>
      </c>
      <c r="D826" s="5">
        <f t="shared" si="14"/>
        <v>-1.7937464536986967</v>
      </c>
    </row>
    <row r="827" spans="1:4">
      <c r="A827" s="2">
        <f>+'18O filtrado'!C798</f>
        <v>0</v>
      </c>
      <c r="B827" s="2">
        <f>+'18O filtrado'!D798</f>
        <v>0</v>
      </c>
      <c r="C827" s="2">
        <f>+'18O filtrado'!P798</f>
        <v>0</v>
      </c>
      <c r="D827" s="5">
        <f t="shared" si="14"/>
        <v>-1.7937464536986967</v>
      </c>
    </row>
    <row r="828" spans="1:4">
      <c r="A828" s="2">
        <f>+'18O filtrado'!C799</f>
        <v>0</v>
      </c>
      <c r="B828" s="2">
        <f>+'18O filtrado'!D799</f>
        <v>0</v>
      </c>
      <c r="C828" s="2">
        <f>+'18O filtrado'!P799</f>
        <v>0</v>
      </c>
      <c r="D828" s="5">
        <f t="shared" si="14"/>
        <v>-1.7937464536986967</v>
      </c>
    </row>
    <row r="829" spans="1:4">
      <c r="A829" s="2">
        <f>+'18O filtrado'!C800</f>
        <v>0</v>
      </c>
      <c r="B829" s="2">
        <f>+'18O filtrado'!D800</f>
        <v>0</v>
      </c>
      <c r="C829" s="2">
        <f>+'18O filtrado'!P800</f>
        <v>0</v>
      </c>
      <c r="D829" s="5">
        <f t="shared" si="14"/>
        <v>-1.7937464536986967</v>
      </c>
    </row>
    <row r="830" spans="1:4">
      <c r="A830" s="2">
        <f>+'18O filtrado'!C801</f>
        <v>0</v>
      </c>
      <c r="B830" s="2">
        <f>+'18O filtrado'!D801</f>
        <v>0</v>
      </c>
      <c r="C830" s="2">
        <f>+'18O filtrado'!P801</f>
        <v>0</v>
      </c>
      <c r="D830" s="5">
        <f t="shared" si="14"/>
        <v>-1.7937464536986967</v>
      </c>
    </row>
    <row r="831" spans="1:4">
      <c r="A831" s="2">
        <f>+'18O filtrado'!C802</f>
        <v>0</v>
      </c>
      <c r="B831" s="2">
        <f>+'18O filtrado'!D802</f>
        <v>0</v>
      </c>
      <c r="C831" s="2">
        <f>+'18O filtrado'!P802</f>
        <v>0</v>
      </c>
      <c r="D831" s="5">
        <f t="shared" si="14"/>
        <v>-1.7937464536986967</v>
      </c>
    </row>
    <row r="832" spans="1:4">
      <c r="A832" s="2">
        <f>+'18O filtrado'!C803</f>
        <v>0</v>
      </c>
      <c r="B832" s="2">
        <f>+'18O filtrado'!D803</f>
        <v>0</v>
      </c>
      <c r="C832" s="2">
        <f>+'18O filtrado'!P803</f>
        <v>0</v>
      </c>
      <c r="D832" s="5">
        <f t="shared" si="14"/>
        <v>-1.7937464536986967</v>
      </c>
    </row>
    <row r="833" spans="1:4">
      <c r="A833" s="2">
        <f>+'18O filtrado'!C804</f>
        <v>0</v>
      </c>
      <c r="B833" s="2">
        <f>+'18O filtrado'!D804</f>
        <v>0</v>
      </c>
      <c r="C833" s="2">
        <f>+'18O filtrado'!P804</f>
        <v>0</v>
      </c>
      <c r="D833" s="5">
        <f t="shared" si="14"/>
        <v>-1.7937464536986967</v>
      </c>
    </row>
    <row r="834" spans="1:4">
      <c r="A834" s="2">
        <f>+'18O filtrado'!C805</f>
        <v>0</v>
      </c>
      <c r="B834" s="2">
        <f>+'18O filtrado'!D805</f>
        <v>0</v>
      </c>
      <c r="C834" s="2">
        <f>+'18O filtrado'!P805</f>
        <v>0</v>
      </c>
      <c r="D834" s="5">
        <f t="shared" si="14"/>
        <v>-1.7937464536986967</v>
      </c>
    </row>
    <row r="835" spans="1:4">
      <c r="A835" s="2">
        <f>+'18O filtrado'!C806</f>
        <v>0</v>
      </c>
      <c r="B835" s="2">
        <f>+'18O filtrado'!D806</f>
        <v>0</v>
      </c>
      <c r="C835" s="2">
        <f>+'18O filtrado'!P806</f>
        <v>0</v>
      </c>
      <c r="D835" s="5">
        <f t="shared" si="14"/>
        <v>-1.7937464536986967</v>
      </c>
    </row>
    <row r="836" spans="1:4">
      <c r="A836" s="2">
        <f>+'18O filtrado'!C807</f>
        <v>0</v>
      </c>
      <c r="B836" s="2">
        <f>+'18O filtrado'!D807</f>
        <v>0</v>
      </c>
      <c r="C836" s="2">
        <f>+'18O filtrado'!P807</f>
        <v>0</v>
      </c>
      <c r="D836" s="5">
        <f t="shared" si="14"/>
        <v>-1.7937464536986967</v>
      </c>
    </row>
    <row r="837" spans="1:4">
      <c r="A837" s="2">
        <f>+'18O filtrado'!C808</f>
        <v>0</v>
      </c>
      <c r="B837" s="2">
        <f>+'18O filtrado'!D808</f>
        <v>0</v>
      </c>
      <c r="C837" s="2">
        <f>+'18O filtrado'!P808</f>
        <v>0</v>
      </c>
      <c r="D837" s="5">
        <f t="shared" si="14"/>
        <v>-1.7937464536986967</v>
      </c>
    </row>
    <row r="838" spans="1:4">
      <c r="A838" s="2">
        <f>+'18O filtrado'!C809</f>
        <v>0</v>
      </c>
      <c r="B838" s="2">
        <f>+'18O filtrado'!D809</f>
        <v>0</v>
      </c>
      <c r="C838" s="2">
        <f>+'18O filtrado'!P809</f>
        <v>0</v>
      </c>
      <c r="D838" s="5">
        <f t="shared" si="14"/>
        <v>-1.7937464536986967</v>
      </c>
    </row>
    <row r="839" spans="1:4">
      <c r="A839" s="2">
        <f>+'18O filtrado'!C810</f>
        <v>0</v>
      </c>
      <c r="B839" s="2">
        <f>+'18O filtrado'!D810</f>
        <v>0</v>
      </c>
      <c r="C839" s="2">
        <f>+'18O filtrado'!P810</f>
        <v>0</v>
      </c>
      <c r="D839" s="5">
        <f t="shared" si="14"/>
        <v>-1.7937464536986967</v>
      </c>
    </row>
    <row r="840" spans="1:4">
      <c r="A840" s="2">
        <f>+'18O filtrado'!C811</f>
        <v>0</v>
      </c>
      <c r="B840" s="2">
        <f>+'18O filtrado'!D811</f>
        <v>0</v>
      </c>
      <c r="C840" s="2">
        <f>+'18O filtrado'!P811</f>
        <v>0</v>
      </c>
      <c r="D840" s="5">
        <f t="shared" si="14"/>
        <v>-1.7937464536986967</v>
      </c>
    </row>
    <row r="841" spans="1:4">
      <c r="A841" s="2">
        <f>+'18O filtrado'!C812</f>
        <v>0</v>
      </c>
      <c r="B841" s="2">
        <f>+'18O filtrado'!D812</f>
        <v>0</v>
      </c>
      <c r="C841" s="2">
        <f>+'18O filtrado'!P812</f>
        <v>0</v>
      </c>
      <c r="D841" s="5">
        <f t="shared" si="14"/>
        <v>-1.7937464536986967</v>
      </c>
    </row>
    <row r="842" spans="1:4">
      <c r="A842" s="2">
        <f>+'18O filtrado'!C813</f>
        <v>0</v>
      </c>
      <c r="B842" s="2">
        <f>+'18O filtrado'!D813</f>
        <v>0</v>
      </c>
      <c r="C842" s="2">
        <f>+'18O filtrado'!P813</f>
        <v>0</v>
      </c>
      <c r="D842" s="5">
        <f t="shared" si="14"/>
        <v>-1.7937464536986967</v>
      </c>
    </row>
    <row r="843" spans="1:4">
      <c r="A843" s="2">
        <f>+'18O filtrado'!C814</f>
        <v>0</v>
      </c>
      <c r="B843" s="2">
        <f>+'18O filtrado'!D814</f>
        <v>0</v>
      </c>
      <c r="C843" s="2">
        <f>+'18O filtrado'!P814</f>
        <v>0</v>
      </c>
      <c r="D843" s="5">
        <f t="shared" si="14"/>
        <v>-1.7937464536986967</v>
      </c>
    </row>
    <row r="844" spans="1:4">
      <c r="A844" s="2">
        <f>+'18O filtrado'!C815</f>
        <v>0</v>
      </c>
      <c r="B844" s="2">
        <f>+'18O filtrado'!D815</f>
        <v>0</v>
      </c>
      <c r="C844" s="2">
        <f>+'18O filtrado'!P815</f>
        <v>0</v>
      </c>
      <c r="D844" s="5">
        <f t="shared" si="14"/>
        <v>-1.7937464536986967</v>
      </c>
    </row>
    <row r="845" spans="1:4">
      <c r="A845" s="2">
        <f>+'18O filtrado'!C816</f>
        <v>0</v>
      </c>
      <c r="B845" s="2">
        <f>+'18O filtrado'!D816</f>
        <v>0</v>
      </c>
      <c r="C845" s="2">
        <f>+'18O filtrado'!P816</f>
        <v>0</v>
      </c>
      <c r="D845" s="5">
        <f t="shared" si="14"/>
        <v>-1.7937464536986967</v>
      </c>
    </row>
    <row r="846" spans="1:4">
      <c r="A846" s="2">
        <f>+'18O filtrado'!C817</f>
        <v>0</v>
      </c>
      <c r="B846" s="2">
        <f>+'18O filtrado'!D817</f>
        <v>0</v>
      </c>
      <c r="C846" s="2">
        <f>+'18O filtrado'!P817</f>
        <v>0</v>
      </c>
      <c r="D846" s="5">
        <f t="shared" si="14"/>
        <v>-1.7937464536986967</v>
      </c>
    </row>
    <row r="847" spans="1:4">
      <c r="A847" s="2">
        <f>+'18O filtrado'!C818</f>
        <v>0</v>
      </c>
      <c r="B847" s="2">
        <f>+'18O filtrado'!D818</f>
        <v>0</v>
      </c>
      <c r="C847" s="2">
        <f>+'18O filtrado'!P818</f>
        <v>0</v>
      </c>
      <c r="D847" s="5">
        <f t="shared" si="14"/>
        <v>-1.7937464536986967</v>
      </c>
    </row>
    <row r="848" spans="1:4">
      <c r="A848" s="2">
        <f>+'18O filtrado'!C819</f>
        <v>0</v>
      </c>
      <c r="B848" s="2">
        <f>+'18O filtrado'!D819</f>
        <v>0</v>
      </c>
      <c r="C848" s="2">
        <f>+'18O filtrado'!P819</f>
        <v>0</v>
      </c>
      <c r="D848" s="5">
        <f t="shared" si="14"/>
        <v>-1.7937464536986967</v>
      </c>
    </row>
    <row r="849" spans="1:4">
      <c r="A849" s="2">
        <f>+'18O filtrado'!C820</f>
        <v>0</v>
      </c>
      <c r="B849" s="2">
        <f>+'18O filtrado'!D820</f>
        <v>0</v>
      </c>
      <c r="C849" s="2">
        <f>+'18O filtrado'!P820</f>
        <v>0</v>
      </c>
      <c r="D849" s="5">
        <f t="shared" si="14"/>
        <v>-1.7937464536986967</v>
      </c>
    </row>
    <row r="850" spans="1:4">
      <c r="A850" s="2">
        <f>+'18O filtrado'!C821</f>
        <v>0</v>
      </c>
      <c r="B850" s="2">
        <f>+'18O filtrado'!D821</f>
        <v>0</v>
      </c>
      <c r="C850" s="2">
        <f>+'18O filtrado'!P821</f>
        <v>0</v>
      </c>
      <c r="D850" s="5">
        <f t="shared" si="14"/>
        <v>-1.7937464536986967</v>
      </c>
    </row>
    <row r="851" spans="1:4">
      <c r="A851" s="2">
        <f>+'18O filtrado'!C822</f>
        <v>0</v>
      </c>
      <c r="B851" s="2">
        <f>+'18O filtrado'!D822</f>
        <v>0</v>
      </c>
      <c r="C851" s="2">
        <f>+'18O filtrado'!P822</f>
        <v>0</v>
      </c>
      <c r="D851" s="5">
        <f t="shared" si="14"/>
        <v>-1.7937464536986967</v>
      </c>
    </row>
    <row r="852" spans="1:4">
      <c r="A852" s="2">
        <f>+'18O filtrado'!C823</f>
        <v>0</v>
      </c>
      <c r="B852" s="2">
        <f>+'18O filtrado'!D823</f>
        <v>0</v>
      </c>
      <c r="C852" s="2">
        <f>+'18O filtrado'!P823</f>
        <v>0</v>
      </c>
      <c r="D852" s="5">
        <f t="shared" si="14"/>
        <v>-1.7937464536986967</v>
      </c>
    </row>
    <row r="853" spans="1:4">
      <c r="A853" s="2">
        <f>+'18O filtrado'!C824</f>
        <v>0</v>
      </c>
      <c r="B853" s="2">
        <f>+'18O filtrado'!D824</f>
        <v>0</v>
      </c>
      <c r="C853" s="2">
        <f>+'18O filtrado'!P824</f>
        <v>0</v>
      </c>
      <c r="D853" s="5">
        <f t="shared" si="14"/>
        <v>-1.7937464536986967</v>
      </c>
    </row>
    <row r="854" spans="1:4">
      <c r="A854" s="2">
        <f>+'18O filtrado'!C825</f>
        <v>0</v>
      </c>
      <c r="B854" s="2">
        <f>+'18O filtrado'!D825</f>
        <v>0</v>
      </c>
      <c r="C854" s="2">
        <f>+'18O filtrado'!P825</f>
        <v>0</v>
      </c>
      <c r="D854" s="5">
        <f t="shared" si="14"/>
        <v>-1.7937464536986967</v>
      </c>
    </row>
    <row r="855" spans="1:4">
      <c r="A855" s="2">
        <f>+'18O filtrado'!C826</f>
        <v>0</v>
      </c>
      <c r="B855" s="2">
        <f>+'18O filtrado'!D826</f>
        <v>0</v>
      </c>
      <c r="C855" s="2">
        <f>+'18O filtrado'!P826</f>
        <v>0</v>
      </c>
      <c r="D855" s="5">
        <f t="shared" si="14"/>
        <v>-1.7937464536986967</v>
      </c>
    </row>
    <row r="856" spans="1:4">
      <c r="A856" s="2">
        <f>+'18O filtrado'!C827</f>
        <v>0</v>
      </c>
      <c r="B856" s="2">
        <f>+'18O filtrado'!D827</f>
        <v>0</v>
      </c>
      <c r="C856" s="2">
        <f>+'18O filtrado'!P827</f>
        <v>0</v>
      </c>
      <c r="D856" s="5">
        <f t="shared" si="14"/>
        <v>-1.7937464536986967</v>
      </c>
    </row>
    <row r="857" spans="1:4">
      <c r="A857" s="2">
        <f>+'18O filtrado'!C828</f>
        <v>0</v>
      </c>
      <c r="B857" s="2">
        <f>+'18O filtrado'!D828</f>
        <v>0</v>
      </c>
      <c r="C857" s="2">
        <f>+'18O filtrado'!P828</f>
        <v>0</v>
      </c>
      <c r="D857" s="5">
        <f t="shared" si="14"/>
        <v>-1.7937464536986967</v>
      </c>
    </row>
    <row r="858" spans="1:4">
      <c r="A858" s="2">
        <f>+'18O filtrado'!C829</f>
        <v>0</v>
      </c>
      <c r="B858" s="2">
        <f>+'18O filtrado'!D829</f>
        <v>0</v>
      </c>
      <c r="C858" s="2">
        <f>+'18O filtrado'!P829</f>
        <v>0</v>
      </c>
      <c r="D858" s="5">
        <f t="shared" si="14"/>
        <v>-1.7937464536986967</v>
      </c>
    </row>
    <row r="859" spans="1:4">
      <c r="A859" s="2">
        <f>+'18O filtrado'!C830</f>
        <v>0</v>
      </c>
      <c r="B859" s="2">
        <f>+'18O filtrado'!D830</f>
        <v>0</v>
      </c>
      <c r="C859" s="2">
        <f>+'18O filtrado'!P830</f>
        <v>0</v>
      </c>
      <c r="D859" s="5">
        <f t="shared" si="14"/>
        <v>-1.7937464536986967</v>
      </c>
    </row>
    <row r="860" spans="1:4">
      <c r="D860" s="5"/>
    </row>
    <row r="861" spans="1:4">
      <c r="D861" s="5"/>
    </row>
    <row r="862" spans="1:4">
      <c r="D862" s="5"/>
    </row>
    <row r="863" spans="1:4">
      <c r="D863" s="5"/>
    </row>
    <row r="864" spans="1:4">
      <c r="D864" s="5"/>
    </row>
    <row r="865" spans="4:4">
      <c r="D865" s="5"/>
    </row>
    <row r="866" spans="4:4">
      <c r="D866" s="5"/>
    </row>
    <row r="867" spans="4:4">
      <c r="D867" s="5"/>
    </row>
    <row r="868" spans="4:4">
      <c r="D868" s="5"/>
    </row>
    <row r="869" spans="4:4">
      <c r="D869" s="5"/>
    </row>
    <row r="870" spans="4:4">
      <c r="D870" s="5"/>
    </row>
    <row r="871" spans="4:4">
      <c r="D871" s="5"/>
    </row>
    <row r="872" spans="4:4">
      <c r="D872" s="5"/>
    </row>
    <row r="873" spans="4:4">
      <c r="D873" s="5"/>
    </row>
    <row r="874" spans="4:4">
      <c r="D874" s="5"/>
    </row>
    <row r="875" spans="4:4">
      <c r="D875" s="5"/>
    </row>
    <row r="876" spans="4:4">
      <c r="D876" s="5"/>
    </row>
    <row r="877" spans="4:4">
      <c r="D877" s="5"/>
    </row>
    <row r="878" spans="4:4">
      <c r="D878" s="5"/>
    </row>
    <row r="879" spans="4:4">
      <c r="D879" s="5"/>
    </row>
    <row r="880" spans="4:4">
      <c r="D880" s="5"/>
    </row>
    <row r="881" spans="4:4">
      <c r="D881" s="5"/>
    </row>
    <row r="882" spans="4:4">
      <c r="D882" s="5"/>
    </row>
    <row r="883" spans="4:4">
      <c r="D883" s="5"/>
    </row>
    <row r="884" spans="4:4">
      <c r="D884" s="5"/>
    </row>
    <row r="885" spans="4:4">
      <c r="D885" s="5"/>
    </row>
    <row r="886" spans="4:4">
      <c r="D886" s="5"/>
    </row>
    <row r="887" spans="4:4">
      <c r="D887" s="5"/>
    </row>
    <row r="888" spans="4:4">
      <c r="D888" s="5"/>
    </row>
    <row r="889" spans="4:4">
      <c r="D889" s="5"/>
    </row>
    <row r="890" spans="4:4">
      <c r="D890" s="5"/>
    </row>
    <row r="891" spans="4:4">
      <c r="D891" s="5"/>
    </row>
    <row r="892" spans="4:4">
      <c r="D892" s="5"/>
    </row>
    <row r="893" spans="4:4">
      <c r="D893" s="5"/>
    </row>
    <row r="894" spans="4:4">
      <c r="D894" s="5"/>
    </row>
    <row r="895" spans="4:4">
      <c r="D895" s="5"/>
    </row>
    <row r="896" spans="4:4">
      <c r="D896" s="5"/>
    </row>
    <row r="897" spans="4:4">
      <c r="D897" s="5"/>
    </row>
    <row r="898" spans="4:4">
      <c r="D898" s="5"/>
    </row>
    <row r="899" spans="4:4">
      <c r="D899" s="5"/>
    </row>
    <row r="900" spans="4:4">
      <c r="D900" s="5"/>
    </row>
    <row r="901" spans="4:4">
      <c r="D901" s="5"/>
    </row>
    <row r="902" spans="4:4">
      <c r="D902" s="5"/>
    </row>
    <row r="903" spans="4:4">
      <c r="D903" s="5"/>
    </row>
    <row r="904" spans="4:4">
      <c r="D904" s="5"/>
    </row>
    <row r="905" spans="4:4">
      <c r="D905" s="5"/>
    </row>
  </sheetData>
  <mergeCells count="2">
    <mergeCell ref="A4:A6"/>
    <mergeCell ref="A10:A11"/>
  </mergeCell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45"/>
  <sheetViews>
    <sheetView workbookViewId="0">
      <selection activeCell="P5" sqref="P5"/>
    </sheetView>
  </sheetViews>
  <sheetFormatPr defaultRowHeight="12.75" customHeight="1"/>
  <cols>
    <col min="1" max="1" width="18.5703125" style="2" bestFit="1" customWidth="1"/>
    <col min="2" max="2" width="12.85546875" style="2" bestFit="1" customWidth="1"/>
    <col min="3" max="3" width="18.5703125" style="2" bestFit="1" customWidth="1"/>
    <col min="4" max="4" width="5.7109375" style="2" bestFit="1" customWidth="1"/>
    <col min="5" max="257" width="9.140625" style="2" customWidth="1"/>
  </cols>
  <sheetData>
    <row r="1" spans="1:4" ht="12.75" customHeight="1">
      <c r="A1" s="3" t="str">
        <f>+'2H proc'!F30</f>
        <v>IDENTIFICACION</v>
      </c>
      <c r="B1" s="3" t="str">
        <f>+'2H proc'!G30</f>
        <v xml:space="preserve">2H </v>
      </c>
      <c r="C1" s="3" t="str">
        <f>+'18O proc'!F30</f>
        <v>IDENTIFICACION</v>
      </c>
      <c r="D1" s="3" t="str">
        <f>+'18O proc'!G30</f>
        <v xml:space="preserve">18O </v>
      </c>
    </row>
    <row r="2" spans="1:4" ht="12.75" customHeight="1">
      <c r="A2" s="2" t="str">
        <f>+'2H proc'!F31</f>
        <v>A017</v>
      </c>
      <c r="B2" s="4">
        <f>+'2H proc'!G31</f>
        <v>-94.38156080074026</v>
      </c>
      <c r="C2" s="2" t="str">
        <f>+'18O proc'!F31</f>
        <v>A017</v>
      </c>
      <c r="D2" s="4">
        <f>+'18O proc'!G31</f>
        <v>-13.945744471034843</v>
      </c>
    </row>
    <row r="3" spans="1:4" ht="12.75" customHeight="1">
      <c r="A3" s="2" t="str">
        <f>+'2H proc'!F32</f>
        <v>A018</v>
      </c>
      <c r="B3" s="4">
        <f>+'2H proc'!G32</f>
        <v>-75.484374899252543</v>
      </c>
      <c r="C3" s="2" t="str">
        <f>+'18O proc'!F32</f>
        <v>A018</v>
      </c>
      <c r="D3" s="4">
        <f>+'18O proc'!G32</f>
        <v>-12.016750521898249</v>
      </c>
    </row>
    <row r="4" spans="1:4" ht="12.75" customHeight="1">
      <c r="A4" s="2" t="str">
        <f>+'2H proc'!F33</f>
        <v>A019</v>
      </c>
      <c r="B4" s="4">
        <f>+'2H proc'!G33</f>
        <v>-35.288853420163221</v>
      </c>
      <c r="C4" s="2" t="str">
        <f>+'18O proc'!F33</f>
        <v>A019</v>
      </c>
      <c r="D4" s="4">
        <f>+'18O proc'!G33</f>
        <v>-6.3279254462365753</v>
      </c>
    </row>
    <row r="5" spans="1:4" ht="12.75" customHeight="1">
      <c r="A5" s="2" t="str">
        <f>+'2H proc'!F34</f>
        <v>A020</v>
      </c>
      <c r="B5" s="4">
        <f>+'2H proc'!G34</f>
        <v>-15.713275788621015</v>
      </c>
      <c r="C5" s="2" t="str">
        <f>+'18O proc'!F34</f>
        <v>A020</v>
      </c>
      <c r="D5" s="4">
        <f>+'18O proc'!G34</f>
        <v>-3.4809048782385181</v>
      </c>
    </row>
    <row r="6" spans="1:4" ht="12.75" customHeight="1">
      <c r="A6" s="2" t="str">
        <f>+'2H proc'!F35</f>
        <v>A021</v>
      </c>
      <c r="B6" s="4">
        <f>+'2H proc'!G35</f>
        <v>-53.553901573191084</v>
      </c>
      <c r="C6" s="2" t="str">
        <f>+'18O proc'!F35</f>
        <v>A021</v>
      </c>
      <c r="D6" s="4">
        <f>+'18O proc'!G35</f>
        <v>-7.6172407234495534</v>
      </c>
    </row>
    <row r="7" spans="1:4" ht="12.75" customHeight="1">
      <c r="A7" s="2" t="str">
        <f>+'2H proc'!F36</f>
        <v>A022</v>
      </c>
      <c r="B7" s="4">
        <f>+'2H proc'!G36</f>
        <v>-76.232959075060265</v>
      </c>
      <c r="C7" s="2" t="str">
        <f>+'18O proc'!F36</f>
        <v>A022</v>
      </c>
      <c r="D7" s="4">
        <f>+'18O proc'!G36</f>
        <v>-11.021905559929573</v>
      </c>
    </row>
    <row r="8" spans="1:4" ht="12.75" customHeight="1">
      <c r="A8" s="2" t="str">
        <f>+'2H proc'!F37</f>
        <v>A023</v>
      </c>
      <c r="B8" s="4">
        <f>+'2H proc'!G37</f>
        <v>-110.41018837</v>
      </c>
      <c r="C8" s="2" t="str">
        <f>+'18O proc'!F37</f>
        <v>A023</v>
      </c>
      <c r="D8" s="4">
        <f>+'18O proc'!G37</f>
        <v>-15.260665862616889</v>
      </c>
    </row>
    <row r="9" spans="1:4" ht="12.75" customHeight="1">
      <c r="A9" s="2" t="str">
        <f>+'2H proc'!F38</f>
        <v>A024</v>
      </c>
      <c r="B9" s="4">
        <f>+'2H proc'!G38</f>
        <v>-55.503872060417052</v>
      </c>
      <c r="C9" s="2" t="str">
        <f>+'18O proc'!F38</f>
        <v>A024</v>
      </c>
      <c r="D9" s="4">
        <f>+'18O proc'!G38</f>
        <v>-8.9198332451501976</v>
      </c>
    </row>
    <row r="10" spans="1:4" ht="12.75" customHeight="1">
      <c r="A10" s="2" t="str">
        <f>+'2H proc'!F39</f>
        <v>A025</v>
      </c>
      <c r="B10" s="4">
        <f>+'2H proc'!G39</f>
        <v>-20.900619250790008</v>
      </c>
      <c r="C10" s="2" t="str">
        <f>+'18O proc'!F39</f>
        <v>A025</v>
      </c>
      <c r="D10" s="4">
        <f>+'18O proc'!G39</f>
        <v>-4.0807518166991352</v>
      </c>
    </row>
    <row r="11" spans="1:4" ht="12.75" customHeight="1">
      <c r="A11" s="2" t="str">
        <f>+'2H proc'!F40</f>
        <v>A026</v>
      </c>
      <c r="B11" s="4">
        <f>+'2H proc'!G40</f>
        <v>-31.585288999148084</v>
      </c>
      <c r="C11" s="2" t="str">
        <f>+'18O proc'!F40</f>
        <v>A026</v>
      </c>
      <c r="D11" s="4">
        <f>+'18O proc'!G40</f>
        <v>-6.3198642620833496</v>
      </c>
    </row>
    <row r="12" spans="1:4" ht="12.75" customHeight="1">
      <c r="A12" s="2" t="str">
        <f>+'2H proc'!F41</f>
        <v>A027</v>
      </c>
      <c r="B12" s="4">
        <f>+'2H proc'!G41</f>
        <v>-17.342308561449215</v>
      </c>
      <c r="C12" s="2" t="str">
        <f>+'18O proc'!F41</f>
        <v>A027</v>
      </c>
      <c r="D12" s="4">
        <f>+'18O proc'!G41</f>
        <v>-3.9465568099130839</v>
      </c>
    </row>
    <row r="13" spans="1:4" ht="12.75" customHeight="1">
      <c r="A13" s="2" t="str">
        <f>+'2H proc'!F42</f>
        <v>A028</v>
      </c>
      <c r="B13" s="4">
        <f>+'2H proc'!G42</f>
        <v>-28.381592168699413</v>
      </c>
      <c r="C13" s="2" t="str">
        <f>+'18O proc'!F42</f>
        <v>A028</v>
      </c>
      <c r="D13" s="4">
        <f>+'18O proc'!G42</f>
        <v>-5.7845067968485386</v>
      </c>
    </row>
    <row r="14" spans="1:4" ht="12.75" customHeight="1">
      <c r="A14" s="2" t="str">
        <f>+'2H proc'!F43</f>
        <v>A029</v>
      </c>
      <c r="B14" s="4">
        <f>+'2H proc'!G43</f>
        <v>-9.8718847972368309</v>
      </c>
      <c r="C14" s="2" t="str">
        <f>+'18O proc'!F43</f>
        <v>A029</v>
      </c>
      <c r="D14" s="4">
        <f>+'18O proc'!G43</f>
        <v>-3.8403388540117573</v>
      </c>
    </row>
    <row r="15" spans="1:4" ht="12.75" customHeight="1">
      <c r="A15" s="2" t="str">
        <f>+'2H proc'!F44</f>
        <v>A030</v>
      </c>
      <c r="B15" s="4">
        <f>+'2H proc'!G44</f>
        <v>-32.530249728392633</v>
      </c>
      <c r="C15" s="2" t="str">
        <f>+'18O proc'!F44</f>
        <v>A030</v>
      </c>
      <c r="D15" s="4">
        <f>+'18O proc'!G44</f>
        <v>-5.8067936000956921</v>
      </c>
    </row>
    <row r="16" spans="1:4" ht="12.75" customHeight="1">
      <c r="A16" s="2" t="str">
        <f>+'2H proc'!F45</f>
        <v>A031</v>
      </c>
      <c r="B16" s="4">
        <f>+'2H proc'!G45</f>
        <v>-13.435064326745479</v>
      </c>
      <c r="C16" s="2" t="str">
        <f>+'18O proc'!F45</f>
        <v>A031</v>
      </c>
      <c r="D16" s="4">
        <f>+'18O proc'!G45</f>
        <v>-4.2656848649201944</v>
      </c>
    </row>
    <row r="17" spans="1:4" ht="12.75" customHeight="1">
      <c r="A17" s="2" t="str">
        <f>+'2H proc'!F46</f>
        <v>A032</v>
      </c>
      <c r="B17" s="4">
        <f>+'2H proc'!G46</f>
        <v>-114.93902119946658</v>
      </c>
      <c r="C17" s="2" t="str">
        <f>+'18O proc'!F46</f>
        <v>A032</v>
      </c>
      <c r="D17" s="4">
        <f>+'18O proc'!G46</f>
        <v>-15.423786294893926</v>
      </c>
    </row>
    <row r="18" spans="1:4" ht="12.75" customHeight="1">
      <c r="A18" s="2" t="str">
        <f>+'2H proc'!F47</f>
        <v>A033</v>
      </c>
      <c r="B18" s="4">
        <f>+'2H proc'!G47</f>
        <v>-6.7189050518699851</v>
      </c>
      <c r="C18" s="2" t="str">
        <f>+'18O proc'!F47</f>
        <v>A033</v>
      </c>
      <c r="D18" s="4">
        <f>+'18O proc'!G47</f>
        <v>-3.2523465981294137</v>
      </c>
    </row>
    <row r="19" spans="1:4" ht="12.75" customHeight="1">
      <c r="A19" s="2" t="str">
        <f>+'2H proc'!F48</f>
        <v>A034</v>
      </c>
      <c r="B19" s="4">
        <f>+'2H proc'!G48</f>
        <v>-16.660265201268849</v>
      </c>
      <c r="C19" s="2" t="str">
        <f>+'18O proc'!F48</f>
        <v>A034</v>
      </c>
      <c r="D19" s="4">
        <f>+'18O proc'!G48</f>
        <v>-2.0289433560516343</v>
      </c>
    </row>
    <row r="20" spans="1:4" ht="12.75" customHeight="1">
      <c r="A20" s="2" t="str">
        <f>+'2H proc'!F49</f>
        <v>A035</v>
      </c>
      <c r="B20" s="4">
        <f>+'2H proc'!G49</f>
        <v>-23.825980718309637</v>
      </c>
      <c r="C20" s="2" t="str">
        <f>+'18O proc'!F49</f>
        <v>A035</v>
      </c>
      <c r="D20" s="4">
        <f>+'18O proc'!G49</f>
        <v>-3.3049813887769459</v>
      </c>
    </row>
    <row r="21" spans="1:4" ht="12.75" customHeight="1">
      <c r="A21" s="2" t="str">
        <f>+'2H proc'!F50</f>
        <v>A036</v>
      </c>
      <c r="B21" s="4">
        <f>+'2H proc'!G50</f>
        <v>-24.538860066219748</v>
      </c>
      <c r="C21" s="2" t="str">
        <f>+'18O proc'!F50</f>
        <v>A036</v>
      </c>
      <c r="D21" s="4">
        <f>+'18O proc'!G50</f>
        <v>-5.0101589308357424</v>
      </c>
    </row>
    <row r="22" spans="1:4" ht="12.75" customHeight="1">
      <c r="A22" s="2" t="str">
        <f>+'2H proc'!F51</f>
        <v>A037</v>
      </c>
      <c r="B22" s="4">
        <f>+'2H proc'!G51</f>
        <v>-10.139671006468859</v>
      </c>
      <c r="C22" s="2" t="str">
        <f>+'18O proc'!F51</f>
        <v>A037</v>
      </c>
      <c r="D22" s="4">
        <f>+'18O proc'!G51</f>
        <v>-3.3386486872992416</v>
      </c>
    </row>
    <row r="23" spans="1:4" ht="12.75" customHeight="1">
      <c r="A23" s="2" t="str">
        <f>+'2H proc'!F52</f>
        <v>A038</v>
      </c>
      <c r="B23" s="4">
        <f>+'2H proc'!G52</f>
        <v>-39.185142764489292</v>
      </c>
      <c r="C23" s="2" t="str">
        <f>+'18O proc'!F52</f>
        <v>A038</v>
      </c>
      <c r="D23" s="4">
        <f>+'18O proc'!G52</f>
        <v>-6.7698680127545945</v>
      </c>
    </row>
    <row r="24" spans="1:4" ht="12.75" customHeight="1">
      <c r="A24" s="2" t="str">
        <f>+'2H proc'!F53</f>
        <v>A039</v>
      </c>
      <c r="B24" s="4">
        <f>+'2H proc'!G53</f>
        <v>-109.50904720226615</v>
      </c>
      <c r="C24" s="2" t="str">
        <f>+'18O proc'!F53</f>
        <v>A039</v>
      </c>
      <c r="D24" s="4">
        <f>+'18O proc'!G53</f>
        <v>-15.304291094504933</v>
      </c>
    </row>
    <row r="25" spans="1:4" ht="12.75" customHeight="1">
      <c r="A25" s="2" t="str">
        <f>+'2H proc'!F54</f>
        <v>A040</v>
      </c>
      <c r="B25" s="4">
        <f>+'2H proc'!G54</f>
        <v>-94.613236445394023</v>
      </c>
      <c r="C25" s="2" t="str">
        <f>+'18O proc'!F54</f>
        <v>A040</v>
      </c>
      <c r="D25" s="4">
        <f>+'18O proc'!G54</f>
        <v>-13.413232129618816</v>
      </c>
    </row>
    <row r="26" spans="1:4" ht="12.75" customHeight="1">
      <c r="A26" s="2" t="str">
        <f>+'2H proc'!F55</f>
        <v>A041</v>
      </c>
      <c r="B26" s="4">
        <f>+'2H proc'!G55</f>
        <v>-56.182263790471538</v>
      </c>
      <c r="C26" s="2" t="str">
        <f>+'18O proc'!F55</f>
        <v>A041</v>
      </c>
      <c r="D26" s="4">
        <f>+'18O proc'!G55</f>
        <v>-8.8121927273394771</v>
      </c>
    </row>
    <row r="27" spans="1:4" ht="12.75" customHeight="1">
      <c r="A27" s="2" t="str">
        <f>+'2H proc'!F56</f>
        <v>A042</v>
      </c>
      <c r="B27" s="4">
        <f>+'2H proc'!G56</f>
        <v>-11.46602421552873</v>
      </c>
      <c r="C27" s="2" t="str">
        <f>+'18O proc'!F56</f>
        <v>A042</v>
      </c>
      <c r="D27" s="4">
        <f>+'18O proc'!G56</f>
        <v>-4.3462967064524509</v>
      </c>
    </row>
    <row r="28" spans="1:4" ht="12.75" customHeight="1">
      <c r="A28" s="2" t="str">
        <f>+'2H proc'!F57</f>
        <v>A043</v>
      </c>
      <c r="B28" s="4">
        <f>+'2H proc'!G57</f>
        <v>-3.8819941807330558</v>
      </c>
      <c r="C28" s="2" t="str">
        <f>+'18O proc'!F57</f>
        <v>A043</v>
      </c>
      <c r="D28" s="4">
        <f>+'18O proc'!G57</f>
        <v>-1.6050199070525897</v>
      </c>
    </row>
    <row r="29" spans="1:4" ht="12.75" customHeight="1">
      <c r="A29" s="2" t="str">
        <f>+'2H proc'!F58</f>
        <v>A044</v>
      </c>
      <c r="B29" s="4">
        <f>+'2H proc'!G58</f>
        <v>9.7231681949767967</v>
      </c>
      <c r="C29" s="2" t="str">
        <f>+'18O proc'!F58</f>
        <v>A044</v>
      </c>
      <c r="D29" s="4">
        <f>+'18O proc'!G58</f>
        <v>1.1746660639008766</v>
      </c>
    </row>
    <row r="30" spans="1:4" ht="12.75" customHeight="1">
      <c r="A30" s="2" t="str">
        <f>+'2H proc'!F59</f>
        <v>A045</v>
      </c>
      <c r="B30" s="4">
        <f>+'2H proc'!G59</f>
        <v>-12.144010208902554</v>
      </c>
      <c r="C30" s="2" t="str">
        <f>+'18O proc'!F59</f>
        <v>A045</v>
      </c>
      <c r="D30" s="4">
        <f>+'18O proc'!G59</f>
        <v>-2.781478606120408</v>
      </c>
    </row>
    <row r="31" spans="1:4" ht="12.75" customHeight="1">
      <c r="A31" s="2" t="str">
        <f>+'2H proc'!F60</f>
        <v>A046</v>
      </c>
      <c r="B31" s="4">
        <f>+'2H proc'!G60</f>
        <v>-23.621489431259715</v>
      </c>
      <c r="C31" s="2" t="str">
        <f>+'18O proc'!F60</f>
        <v>A046</v>
      </c>
      <c r="D31" s="4">
        <f>+'18O proc'!G60</f>
        <v>-4.6587861392157297</v>
      </c>
    </row>
    <row r="32" spans="1:4" ht="12.75" customHeight="1">
      <c r="A32" s="2" t="str">
        <f>+'2H proc'!F61</f>
        <v>A047</v>
      </c>
      <c r="B32" s="4">
        <f>+'2H proc'!G61</f>
        <v>-43.949708605416191</v>
      </c>
      <c r="C32" s="2" t="str">
        <f>+'18O proc'!F61</f>
        <v>A047</v>
      </c>
      <c r="D32" s="4">
        <f>+'18O proc'!G61</f>
        <v>-7.4925294627261207</v>
      </c>
    </row>
    <row r="33" spans="1:4" ht="12.75" customHeight="1">
      <c r="A33" s="2" t="str">
        <f>+'2H proc'!F62</f>
        <v>A048</v>
      </c>
      <c r="B33" s="4">
        <f>+'2H proc'!G62</f>
        <v>-34.380003255496931</v>
      </c>
      <c r="C33" s="2" t="str">
        <f>+'18O proc'!F62</f>
        <v>A048</v>
      </c>
      <c r="D33" s="4">
        <f>+'18O proc'!G62</f>
        <v>-5.8347706509804169</v>
      </c>
    </row>
    <row r="34" spans="1:4" ht="12.75" customHeight="1">
      <c r="A34" s="2" t="str">
        <f>+'2H proc'!F63</f>
        <v>A049</v>
      </c>
      <c r="B34" s="4">
        <f>+'2H proc'!G63</f>
        <v>-90.456869888768367</v>
      </c>
      <c r="C34" s="2" t="str">
        <f>+'18O proc'!F63</f>
        <v>A049</v>
      </c>
      <c r="D34" s="4">
        <f>+'18O proc'!G63</f>
        <v>-12.168964646203277</v>
      </c>
    </row>
    <row r="35" spans="1:4" ht="12.75" customHeight="1">
      <c r="A35" s="2" t="str">
        <f>+'2H proc'!F64</f>
        <v>A050</v>
      </c>
      <c r="B35" s="4">
        <f>+'2H proc'!G64</f>
        <v>-76.389979170473595</v>
      </c>
      <c r="C35" s="2" t="str">
        <f>+'18O proc'!F64</f>
        <v>A050</v>
      </c>
      <c r="D35" s="4">
        <f>+'18O proc'!G64</f>
        <v>-11.461003002628809</v>
      </c>
    </row>
    <row r="36" spans="1:4" ht="12.75" customHeight="1">
      <c r="A36" s="2" t="str">
        <f>+'2H proc'!F65</f>
        <v>A051</v>
      </c>
      <c r="B36" s="4">
        <f>+'2H proc'!G65</f>
        <v>-51.855082091290285</v>
      </c>
      <c r="C36" s="2" t="str">
        <f>+'18O proc'!F65</f>
        <v>A051</v>
      </c>
      <c r="D36" s="4">
        <f>+'18O proc'!G65</f>
        <v>-7.9766746992227917</v>
      </c>
    </row>
    <row r="37" spans="1:4" ht="12.75" customHeight="1">
      <c r="A37" s="2" t="str">
        <f>+'2H proc'!F66</f>
        <v>A052</v>
      </c>
      <c r="B37" s="4">
        <f>+'2H proc'!G66</f>
        <v>-30.740950966705874</v>
      </c>
      <c r="C37" s="2" t="str">
        <f>+'18O proc'!F66</f>
        <v>A052</v>
      </c>
      <c r="D37" s="4">
        <f>+'18O proc'!G66</f>
        <v>-6.3943116686749049</v>
      </c>
    </row>
    <row r="38" spans="1:4" ht="12.75" customHeight="1">
      <c r="A38" s="2" t="str">
        <f>+'2H proc'!F67</f>
        <v>A053</v>
      </c>
      <c r="B38" s="4">
        <f>+'2H proc'!G67</f>
        <v>-24.39279486118409</v>
      </c>
      <c r="C38" s="2" t="str">
        <f>+'18O proc'!F67</f>
        <v>A053</v>
      </c>
      <c r="D38" s="4">
        <f>+'18O proc'!G67</f>
        <v>-5.7598490570857308</v>
      </c>
    </row>
    <row r="39" spans="1:4" ht="12.75" customHeight="1">
      <c r="A39" s="2" t="str">
        <f>+'2H proc'!F68</f>
        <v>A054</v>
      </c>
      <c r="B39" s="4">
        <f>+'2H proc'!G68</f>
        <v>-29.110700983835716</v>
      </c>
      <c r="C39" s="2" t="str">
        <f>+'18O proc'!F68</f>
        <v>A054</v>
      </c>
      <c r="D39" s="4">
        <f>+'18O proc'!G68</f>
        <v>-5.453998246566286</v>
      </c>
    </row>
    <row r="40" spans="1:4" ht="12.75" customHeight="1">
      <c r="A40" s="2" t="str">
        <f>+'2H proc'!F69</f>
        <v>A055</v>
      </c>
      <c r="B40" s="4">
        <f>+'2H proc'!G69</f>
        <v>-15.921418705796825</v>
      </c>
      <c r="C40" s="2" t="str">
        <f>+'18O proc'!F69</f>
        <v>A055</v>
      </c>
      <c r="D40" s="4">
        <f>+'18O proc'!G69</f>
        <v>-4.5554133071331879</v>
      </c>
    </row>
    <row r="41" spans="1:4" ht="12.75" customHeight="1">
      <c r="A41" s="2" t="str">
        <f>+'2H proc'!F70</f>
        <v>A056</v>
      </c>
      <c r="B41" s="4">
        <f>+'2H proc'!G70</f>
        <v>-14.428713457668572</v>
      </c>
      <c r="C41" s="2" t="str">
        <f>+'18O proc'!F70</f>
        <v>A056</v>
      </c>
      <c r="D41" s="4">
        <f>+'18O proc'!G70</f>
        <v>-3.7801170665141299</v>
      </c>
    </row>
    <row r="42" spans="1:4" ht="12.75" customHeight="1">
      <c r="A42" s="2" t="str">
        <f>+'2H proc'!F71</f>
        <v>A057</v>
      </c>
      <c r="B42" s="4">
        <f>+'2H proc'!G71</f>
        <v>-14.848650922146089</v>
      </c>
      <c r="C42" s="2" t="str">
        <f>+'18O proc'!F71</f>
        <v>A057</v>
      </c>
      <c r="D42" s="4">
        <f>+'18O proc'!G71</f>
        <v>-4.383757503399794</v>
      </c>
    </row>
    <row r="43" spans="1:4" ht="12.75" customHeight="1">
      <c r="B43" s="4"/>
      <c r="D43" s="4"/>
    </row>
    <row r="44" spans="1:4" ht="12.75" customHeight="1">
      <c r="A44" s="2" t="str">
        <f>+'2H proc'!F73</f>
        <v>A003</v>
      </c>
      <c r="B44" s="4">
        <f>+'2H proc'!G73</f>
        <v>-7.7405500137582521</v>
      </c>
      <c r="C44" s="2" t="str">
        <f>+'18O proc'!F73</f>
        <v>A003</v>
      </c>
      <c r="D44" s="4">
        <f>+'18O proc'!G73</f>
        <v>-3.683857043978553</v>
      </c>
    </row>
    <row r="45" spans="1:4" ht="12.75" customHeight="1">
      <c r="A45" s="2" t="str">
        <f>+'2H proc'!F74</f>
        <v>A016</v>
      </c>
      <c r="B45" s="4">
        <f>+'2H proc'!G74</f>
        <v>-1.4804387679385205</v>
      </c>
      <c r="C45" s="2" t="str">
        <f>+'18O proc'!F74</f>
        <v>A016</v>
      </c>
      <c r="D45" s="4">
        <f>+'18O proc'!G74</f>
        <v>-2.2963849950174744</v>
      </c>
    </row>
  </sheetData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1959-640C-42F4-9B97-8664B7A632C8}">
  <dimension ref="A1:S42"/>
  <sheetViews>
    <sheetView topLeftCell="C1" workbookViewId="0">
      <selection activeCell="H21" sqref="H21"/>
    </sheetView>
  </sheetViews>
  <sheetFormatPr defaultRowHeight="14.25"/>
  <cols>
    <col min="1" max="1" width="14.5703125" style="2" bestFit="1" customWidth="1"/>
    <col min="2" max="2" width="14.5703125" style="2" customWidth="1"/>
    <col min="3" max="4" width="12.85546875" style="2" customWidth="1"/>
    <col min="8" max="8" width="11.28515625" style="14" customWidth="1"/>
    <col min="9" max="9" width="8.85546875" style="14" bestFit="1" customWidth="1"/>
    <col min="10" max="10" width="7.140625" style="14" bestFit="1" customWidth="1"/>
    <col min="11" max="11" width="9.5703125" style="14" bestFit="1" customWidth="1"/>
    <col min="12" max="12" width="7.140625" style="14" bestFit="1" customWidth="1"/>
    <col min="15" max="15" width="36.5703125" bestFit="1" customWidth="1"/>
    <col min="18" max="18" width="31.140625" bestFit="1" customWidth="1"/>
    <col min="19" max="19" width="9.5703125" bestFit="1" customWidth="1"/>
  </cols>
  <sheetData>
    <row r="1" spans="1:19">
      <c r="A1" s="2" t="s">
        <v>228</v>
      </c>
      <c r="B1" s="2" t="s">
        <v>229</v>
      </c>
      <c r="C1" s="2" t="s">
        <v>198</v>
      </c>
      <c r="D1" s="2" t="s">
        <v>227</v>
      </c>
      <c r="E1" s="1"/>
      <c r="F1" s="1"/>
      <c r="G1" s="1"/>
      <c r="H1" s="18" t="s">
        <v>230</v>
      </c>
      <c r="I1" s="19" t="s">
        <v>231</v>
      </c>
      <c r="J1" s="19" t="s">
        <v>232</v>
      </c>
      <c r="K1" s="19" t="s">
        <v>233</v>
      </c>
      <c r="L1" s="19" t="s">
        <v>232</v>
      </c>
      <c r="M1" s="1"/>
      <c r="N1" s="1"/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</row>
    <row r="2" spans="1:19">
      <c r="A2" s="2" t="s">
        <v>32</v>
      </c>
      <c r="B2" s="13" t="s">
        <v>239</v>
      </c>
      <c r="C2" s="5">
        <v>-94.38156080074026</v>
      </c>
      <c r="D2" s="5">
        <v>-13.945744471034843</v>
      </c>
      <c r="E2" s="1"/>
      <c r="F2" s="1"/>
      <c r="G2" s="1"/>
      <c r="H2" s="14" t="str">
        <f>+B2</f>
        <v>LP-May-19</v>
      </c>
      <c r="I2" s="16">
        <f>+C2</f>
        <v>-94.38156080074026</v>
      </c>
      <c r="J2" s="14">
        <v>1.4</v>
      </c>
      <c r="K2" s="15">
        <f>+D2</f>
        <v>-13.945744471034843</v>
      </c>
      <c r="L2" s="14">
        <v>0.26</v>
      </c>
      <c r="M2" s="1"/>
      <c r="N2" s="1"/>
      <c r="O2" s="1"/>
      <c r="P2" s="1" t="s">
        <v>240</v>
      </c>
      <c r="Q2" s="1" t="s">
        <v>241</v>
      </c>
      <c r="R2" s="1" t="s">
        <v>242</v>
      </c>
      <c r="S2" s="1"/>
    </row>
    <row r="3" spans="1:19">
      <c r="A3" s="2" t="s">
        <v>35</v>
      </c>
      <c r="B3" s="13" t="s">
        <v>243</v>
      </c>
      <c r="C3" s="5">
        <v>-75.484374899252543</v>
      </c>
      <c r="D3" s="5">
        <v>-12.016750521898249</v>
      </c>
      <c r="E3" s="1"/>
      <c r="F3" s="1"/>
      <c r="G3" s="1"/>
      <c r="H3" s="14" t="str">
        <f t="shared" ref="H3:H42" si="0">+B3</f>
        <v>LP-Jun-19</v>
      </c>
      <c r="I3" s="16">
        <f t="shared" ref="I3:I42" si="1">+C3</f>
        <v>-75.484374899252543</v>
      </c>
      <c r="J3" s="14">
        <v>1.4</v>
      </c>
      <c r="K3" s="15">
        <f t="shared" ref="K3:K42" si="2">+D3</f>
        <v>-12.016750521898249</v>
      </c>
      <c r="L3" s="14">
        <v>0.26</v>
      </c>
      <c r="M3" s="1"/>
      <c r="N3" s="1"/>
      <c r="O3" s="1"/>
      <c r="P3" s="1"/>
      <c r="Q3" s="1"/>
      <c r="R3" s="1"/>
      <c r="S3" s="1"/>
    </row>
    <row r="4" spans="1:19">
      <c r="A4" s="2" t="s">
        <v>38</v>
      </c>
      <c r="B4" s="13" t="s">
        <v>244</v>
      </c>
      <c r="C4" s="5">
        <v>-35.288853420163221</v>
      </c>
      <c r="D4" s="5">
        <v>-6.3279254462365753</v>
      </c>
      <c r="E4" s="1"/>
      <c r="F4" s="1"/>
      <c r="G4" s="1"/>
      <c r="H4" s="14" t="str">
        <f t="shared" si="0"/>
        <v>LP-Sep-19</v>
      </c>
      <c r="I4" s="16">
        <f t="shared" si="1"/>
        <v>-35.288853420163221</v>
      </c>
      <c r="J4" s="14">
        <v>1.4</v>
      </c>
      <c r="K4" s="15">
        <f t="shared" si="2"/>
        <v>-6.3279254462365753</v>
      </c>
      <c r="L4" s="14">
        <v>0.26</v>
      </c>
      <c r="M4" s="1"/>
      <c r="N4" s="1"/>
      <c r="O4" s="1"/>
      <c r="P4" s="1"/>
      <c r="Q4" s="1"/>
      <c r="R4" s="1"/>
      <c r="S4" s="1"/>
    </row>
    <row r="5" spans="1:19">
      <c r="A5" s="2" t="s">
        <v>41</v>
      </c>
      <c r="B5" s="13" t="s">
        <v>245</v>
      </c>
      <c r="C5" s="5">
        <v>-15.713275788621015</v>
      </c>
      <c r="D5" s="5">
        <v>-3.4809048782385181</v>
      </c>
      <c r="E5" s="1"/>
      <c r="F5" s="1"/>
      <c r="G5" s="1"/>
      <c r="H5" s="14" t="str">
        <f t="shared" si="0"/>
        <v>LP-Nov-19</v>
      </c>
      <c r="I5" s="16">
        <f t="shared" si="1"/>
        <v>-15.713275788621015</v>
      </c>
      <c r="J5" s="14">
        <v>1.4</v>
      </c>
      <c r="K5" s="15">
        <f t="shared" si="2"/>
        <v>-3.4809048782385181</v>
      </c>
      <c r="L5" s="14">
        <v>0.26</v>
      </c>
      <c r="M5" s="1"/>
      <c r="N5" s="1"/>
      <c r="O5" s="1"/>
      <c r="P5" s="1"/>
      <c r="Q5" s="1"/>
      <c r="R5" s="1"/>
      <c r="S5" s="1"/>
    </row>
    <row r="6" spans="1:19">
      <c r="A6" s="2" t="s">
        <v>44</v>
      </c>
      <c r="B6" s="13" t="s">
        <v>246</v>
      </c>
      <c r="C6" s="5">
        <v>-53.553901573191084</v>
      </c>
      <c r="D6" s="5">
        <v>-7.6172407234495534</v>
      </c>
      <c r="E6" s="1"/>
      <c r="F6" s="1"/>
      <c r="G6" s="1"/>
      <c r="H6" s="14" t="str">
        <f t="shared" si="0"/>
        <v>LP-Dic-19</v>
      </c>
      <c r="I6" s="16">
        <f t="shared" si="1"/>
        <v>-53.553901573191084</v>
      </c>
      <c r="J6" s="14">
        <v>1.4</v>
      </c>
      <c r="K6" s="15">
        <f t="shared" si="2"/>
        <v>-7.6172407234495534</v>
      </c>
      <c r="L6" s="14">
        <v>0.26</v>
      </c>
      <c r="M6" s="1"/>
      <c r="N6" s="1"/>
      <c r="O6" s="1"/>
      <c r="P6" s="1"/>
      <c r="Q6" s="1"/>
      <c r="R6" s="1"/>
      <c r="S6" s="1"/>
    </row>
    <row r="7" spans="1:19" ht="15">
      <c r="A7" s="2" t="s">
        <v>49</v>
      </c>
      <c r="B7" s="13" t="s">
        <v>247</v>
      </c>
      <c r="C7" s="5">
        <v>-76.232959075060265</v>
      </c>
      <c r="D7" s="5">
        <v>-11.021905559929573</v>
      </c>
      <c r="E7" s="1"/>
      <c r="F7" s="1"/>
      <c r="G7" s="1"/>
      <c r="H7" s="14" t="str">
        <f t="shared" si="0"/>
        <v>LP-May-20</v>
      </c>
      <c r="I7" s="16">
        <f t="shared" si="1"/>
        <v>-76.232959075060265</v>
      </c>
      <c r="J7" s="14">
        <v>1.4</v>
      </c>
      <c r="K7" s="15">
        <f t="shared" si="2"/>
        <v>-11.021905559929573</v>
      </c>
      <c r="L7" s="14">
        <v>0.26</v>
      </c>
      <c r="M7" s="1"/>
      <c r="N7" s="1"/>
      <c r="O7" s="17" t="s">
        <v>248</v>
      </c>
      <c r="P7" s="1"/>
      <c r="Q7" s="1"/>
      <c r="R7" s="1"/>
      <c r="S7" s="1"/>
    </row>
    <row r="8" spans="1:19" ht="15">
      <c r="A8" s="2" t="s">
        <v>52</v>
      </c>
      <c r="B8" s="13" t="s">
        <v>249</v>
      </c>
      <c r="C8" s="5">
        <v>-110.41018837</v>
      </c>
      <c r="D8" s="5">
        <v>-15.260665862616889</v>
      </c>
      <c r="E8" s="1"/>
      <c r="F8" s="1"/>
      <c r="G8" s="1"/>
      <c r="H8" s="14" t="str">
        <f t="shared" si="0"/>
        <v>LP-Jun-20</v>
      </c>
      <c r="I8" s="16">
        <f t="shared" si="1"/>
        <v>-110.41018837</v>
      </c>
      <c r="J8" s="14">
        <v>1.4</v>
      </c>
      <c r="K8" s="15">
        <f t="shared" si="2"/>
        <v>-15.260665862616889</v>
      </c>
      <c r="L8" s="14">
        <v>0.26</v>
      </c>
      <c r="M8" s="1"/>
      <c r="N8" s="1"/>
      <c r="O8" s="17" t="s">
        <v>250</v>
      </c>
      <c r="P8" s="1"/>
      <c r="Q8" s="1"/>
      <c r="R8" s="1"/>
      <c r="S8" s="1"/>
    </row>
    <row r="9" spans="1:19">
      <c r="A9" s="2" t="s">
        <v>55</v>
      </c>
      <c r="B9" s="13" t="s">
        <v>251</v>
      </c>
      <c r="C9" s="5">
        <v>-55.503872060417052</v>
      </c>
      <c r="D9" s="5">
        <v>-8.9198332451501976</v>
      </c>
      <c r="E9" s="1"/>
      <c r="F9" s="1"/>
      <c r="G9" s="1"/>
      <c r="H9" s="14" t="str">
        <f t="shared" si="0"/>
        <v>LP-Jul-20</v>
      </c>
      <c r="I9" s="16">
        <f t="shared" si="1"/>
        <v>-55.503872060417052</v>
      </c>
      <c r="J9" s="14">
        <v>1.4</v>
      </c>
      <c r="K9" s="15">
        <f t="shared" si="2"/>
        <v>-8.9198332451501976</v>
      </c>
      <c r="L9" s="14">
        <v>0.26</v>
      </c>
      <c r="M9" s="1"/>
      <c r="N9" s="1"/>
      <c r="O9" s="1"/>
      <c r="P9" s="1"/>
      <c r="Q9" s="1"/>
      <c r="R9" s="1"/>
      <c r="S9" s="1"/>
    </row>
    <row r="10" spans="1:19">
      <c r="A10" s="2" t="s">
        <v>58</v>
      </c>
      <c r="B10" s="13" t="s">
        <v>252</v>
      </c>
      <c r="C10" s="5">
        <v>-20.900619250790008</v>
      </c>
      <c r="D10" s="5">
        <v>-4.0807518166991352</v>
      </c>
      <c r="E10" s="1"/>
      <c r="F10" s="1"/>
      <c r="G10" s="1"/>
      <c r="H10" s="14" t="str">
        <f t="shared" si="0"/>
        <v>LP-Nov-20</v>
      </c>
      <c r="I10" s="16">
        <f t="shared" si="1"/>
        <v>-20.900619250790008</v>
      </c>
      <c r="J10" s="14">
        <v>1.4</v>
      </c>
      <c r="K10" s="15">
        <f t="shared" si="2"/>
        <v>-4.0807518166991352</v>
      </c>
      <c r="L10" s="14">
        <v>0.26</v>
      </c>
      <c r="M10" s="1"/>
      <c r="N10" s="1"/>
      <c r="O10" s="1"/>
      <c r="P10" s="1"/>
      <c r="Q10" s="1"/>
      <c r="R10" s="1"/>
      <c r="S10" s="1"/>
    </row>
    <row r="11" spans="1:19">
      <c r="A11" s="2" t="s">
        <v>61</v>
      </c>
      <c r="B11" s="13" t="s">
        <v>253</v>
      </c>
      <c r="C11" s="5">
        <v>-31.585288999148084</v>
      </c>
      <c r="D11" s="5">
        <v>-6.3198642620833496</v>
      </c>
      <c r="E11" s="1"/>
      <c r="F11" s="1"/>
      <c r="G11" s="1"/>
      <c r="H11" s="14" t="str">
        <f t="shared" si="0"/>
        <v>LP-Dic-20</v>
      </c>
      <c r="I11" s="16">
        <f t="shared" si="1"/>
        <v>-31.585288999148084</v>
      </c>
      <c r="J11" s="14">
        <v>1.4</v>
      </c>
      <c r="K11" s="15">
        <f t="shared" si="2"/>
        <v>-6.3198642620833496</v>
      </c>
      <c r="L11" s="14">
        <v>0.26</v>
      </c>
      <c r="M11" s="1"/>
      <c r="N11" s="1"/>
      <c r="O11" s="1"/>
      <c r="P11" s="1"/>
      <c r="Q11" s="1"/>
      <c r="R11" s="1"/>
      <c r="S11" s="1"/>
    </row>
    <row r="12" spans="1:19">
      <c r="A12" s="2" t="s">
        <v>66</v>
      </c>
      <c r="B12" s="13" t="s">
        <v>254</v>
      </c>
      <c r="C12" s="5">
        <v>-17.342308561449215</v>
      </c>
      <c r="D12" s="5">
        <v>-3.9465568099130839</v>
      </c>
      <c r="E12" s="1"/>
      <c r="F12" s="1"/>
      <c r="G12" s="1"/>
      <c r="H12" s="14" t="str">
        <f t="shared" si="0"/>
        <v>LP-Nov-21</v>
      </c>
      <c r="I12" s="16">
        <f t="shared" si="1"/>
        <v>-17.342308561449215</v>
      </c>
      <c r="J12" s="14">
        <v>1.4</v>
      </c>
      <c r="K12" s="15">
        <f t="shared" si="2"/>
        <v>-3.9465568099130839</v>
      </c>
      <c r="L12" s="14">
        <v>0.26</v>
      </c>
      <c r="M12" s="1"/>
      <c r="N12" s="1"/>
      <c r="O12" s="1"/>
      <c r="P12" s="1"/>
      <c r="Q12" s="1"/>
      <c r="R12" s="1"/>
      <c r="S12" s="1"/>
    </row>
    <row r="13" spans="1:19">
      <c r="A13" s="2" t="s">
        <v>69</v>
      </c>
      <c r="B13" s="13" t="s">
        <v>255</v>
      </c>
      <c r="C13" s="5">
        <v>-28.381592168699413</v>
      </c>
      <c r="D13" s="5">
        <v>-5.7845067968485386</v>
      </c>
      <c r="E13" s="1"/>
      <c r="F13" s="1"/>
      <c r="G13" s="1"/>
      <c r="H13" s="14" t="str">
        <f t="shared" si="0"/>
        <v>LP-Mar-23</v>
      </c>
      <c r="I13" s="16">
        <f t="shared" si="1"/>
        <v>-28.381592168699413</v>
      </c>
      <c r="J13" s="14">
        <v>1.4</v>
      </c>
      <c r="K13" s="15">
        <f t="shared" si="2"/>
        <v>-5.7845067968485386</v>
      </c>
      <c r="L13" s="14">
        <v>0.26</v>
      </c>
      <c r="M13" s="1"/>
      <c r="N13" s="1"/>
      <c r="O13" s="1"/>
      <c r="P13" s="1"/>
      <c r="Q13" s="1"/>
      <c r="R13" s="1"/>
      <c r="S13" s="1"/>
    </row>
    <row r="14" spans="1:19">
      <c r="A14" s="2" t="s">
        <v>73</v>
      </c>
      <c r="B14" s="13" t="s">
        <v>256</v>
      </c>
      <c r="C14" s="5">
        <v>-9.8718847972368309</v>
      </c>
      <c r="D14" s="5">
        <v>-3.8403388540117573</v>
      </c>
      <c r="E14" s="1"/>
      <c r="F14" s="1"/>
      <c r="G14" s="1"/>
      <c r="H14" s="14" t="str">
        <f t="shared" si="0"/>
        <v>LP-Abr-23</v>
      </c>
      <c r="I14" s="16">
        <f t="shared" si="1"/>
        <v>-9.8718847972368309</v>
      </c>
      <c r="J14" s="14">
        <v>1.4</v>
      </c>
      <c r="K14" s="15">
        <f t="shared" si="2"/>
        <v>-3.8403388540117573</v>
      </c>
      <c r="L14" s="14">
        <v>0.26</v>
      </c>
      <c r="M14" s="1"/>
      <c r="N14" s="1"/>
      <c r="O14" s="1"/>
      <c r="P14" s="1"/>
      <c r="Q14" s="1"/>
      <c r="R14" s="1"/>
      <c r="S14" s="1"/>
    </row>
    <row r="15" spans="1:19">
      <c r="A15" s="2" t="s">
        <v>76</v>
      </c>
      <c r="B15" s="13" t="s">
        <v>257</v>
      </c>
      <c r="C15" s="5">
        <v>-32.530249728392633</v>
      </c>
      <c r="D15" s="5">
        <v>-5.8067936000956921</v>
      </c>
      <c r="E15" s="1"/>
      <c r="F15" s="1"/>
      <c r="G15" s="1"/>
      <c r="H15" s="14" t="str">
        <f t="shared" si="0"/>
        <v>LP-May-23</v>
      </c>
      <c r="I15" s="16">
        <f t="shared" si="1"/>
        <v>-32.530249728392633</v>
      </c>
      <c r="J15" s="14">
        <v>1.4</v>
      </c>
      <c r="K15" s="15">
        <f t="shared" si="2"/>
        <v>-5.8067936000956921</v>
      </c>
      <c r="L15" s="14">
        <v>0.26</v>
      </c>
      <c r="M15" s="1"/>
      <c r="N15" s="1"/>
      <c r="O15" s="1"/>
      <c r="P15" s="1"/>
      <c r="Q15" s="1"/>
      <c r="R15" s="1"/>
      <c r="S15" s="1"/>
    </row>
    <row r="16" spans="1:19">
      <c r="A16" s="2" t="s">
        <v>79</v>
      </c>
      <c r="B16" s="13" t="s">
        <v>258</v>
      </c>
      <c r="C16" s="5">
        <v>-13.435064326745479</v>
      </c>
      <c r="D16" s="5">
        <v>-4.2656848649201944</v>
      </c>
      <c r="E16" s="1"/>
      <c r="F16" s="1"/>
      <c r="G16" s="1"/>
      <c r="H16" s="14" t="str">
        <f t="shared" si="0"/>
        <v>LP-Jul-23</v>
      </c>
      <c r="I16" s="16">
        <f t="shared" si="1"/>
        <v>-13.435064326745479</v>
      </c>
      <c r="J16" s="14">
        <v>1.4</v>
      </c>
      <c r="K16" s="15">
        <f t="shared" si="2"/>
        <v>-4.2656848649201944</v>
      </c>
      <c r="L16" s="14">
        <v>0.26</v>
      </c>
      <c r="M16" s="1"/>
      <c r="N16" s="1"/>
      <c r="O16" s="1"/>
      <c r="P16" s="1"/>
      <c r="Q16" s="1"/>
      <c r="R16" s="1"/>
      <c r="S16" s="1"/>
    </row>
    <row r="17" spans="1:12">
      <c r="A17" s="2" t="s">
        <v>84</v>
      </c>
      <c r="B17" s="13" t="s">
        <v>259</v>
      </c>
      <c r="C17" s="5">
        <v>-114.93902119946658</v>
      </c>
      <c r="D17" s="5">
        <v>-15.423786294893926</v>
      </c>
      <c r="E17" s="1"/>
      <c r="F17" s="1"/>
      <c r="G17" s="1"/>
      <c r="H17" s="14" t="str">
        <f t="shared" si="0"/>
        <v>LP-Ago-23</v>
      </c>
      <c r="I17" s="16">
        <f t="shared" si="1"/>
        <v>-114.93902119946658</v>
      </c>
      <c r="J17" s="14">
        <v>1.4</v>
      </c>
      <c r="K17" s="15">
        <f t="shared" si="2"/>
        <v>-15.423786294893926</v>
      </c>
      <c r="L17" s="14">
        <v>0.26</v>
      </c>
    </row>
    <row r="18" spans="1:12">
      <c r="A18" s="2" t="s">
        <v>87</v>
      </c>
      <c r="B18" s="13" t="s">
        <v>260</v>
      </c>
      <c r="C18" s="5">
        <v>-6.7189050518699851</v>
      </c>
      <c r="D18" s="5">
        <v>-3.2523465981294137</v>
      </c>
      <c r="E18" s="1"/>
      <c r="F18" s="1"/>
      <c r="G18" s="1"/>
      <c r="H18" s="14" t="str">
        <f t="shared" si="0"/>
        <v>LP-Oct-23</v>
      </c>
      <c r="I18" s="16">
        <f t="shared" si="1"/>
        <v>-6.7189050518699851</v>
      </c>
      <c r="J18" s="14">
        <v>1.4</v>
      </c>
      <c r="K18" s="15">
        <f t="shared" si="2"/>
        <v>-3.2523465981294137</v>
      </c>
      <c r="L18" s="14">
        <v>0.26</v>
      </c>
    </row>
    <row r="19" spans="1:12">
      <c r="A19" s="2" t="s">
        <v>90</v>
      </c>
      <c r="B19" s="13" t="s">
        <v>261</v>
      </c>
      <c r="C19" s="5">
        <v>-16.660265201268849</v>
      </c>
      <c r="D19" s="5">
        <v>-2.0289433560516343</v>
      </c>
      <c r="E19" s="1"/>
      <c r="F19" s="1"/>
      <c r="G19" s="1"/>
      <c r="H19" s="14" t="str">
        <f t="shared" si="0"/>
        <v>LP-Nov-23</v>
      </c>
      <c r="I19" s="16">
        <f t="shared" si="1"/>
        <v>-16.660265201268849</v>
      </c>
      <c r="J19" s="14">
        <v>1.4</v>
      </c>
      <c r="K19" s="15">
        <f t="shared" si="2"/>
        <v>-2.0289433560516343</v>
      </c>
      <c r="L19" s="14">
        <v>0.26</v>
      </c>
    </row>
    <row r="20" spans="1:12">
      <c r="A20" s="2" t="s">
        <v>93</v>
      </c>
      <c r="B20" s="13" t="s">
        <v>262</v>
      </c>
      <c r="C20" s="5">
        <v>-23.825980718309637</v>
      </c>
      <c r="D20" s="5">
        <v>-3.3049813887769459</v>
      </c>
      <c r="E20" s="1"/>
      <c r="F20" s="1"/>
      <c r="G20" s="1"/>
      <c r="H20" s="14" t="str">
        <f t="shared" si="0"/>
        <v>LP-Dic-23</v>
      </c>
      <c r="I20" s="16">
        <f t="shared" si="1"/>
        <v>-23.825980718309637</v>
      </c>
      <c r="J20" s="14">
        <v>1.4</v>
      </c>
      <c r="K20" s="15">
        <f t="shared" si="2"/>
        <v>-3.3049813887769459</v>
      </c>
      <c r="L20" s="14">
        <v>0.26</v>
      </c>
    </row>
    <row r="21" spans="1:12">
      <c r="A21" s="2" t="s">
        <v>96</v>
      </c>
      <c r="B21" s="13" t="s">
        <v>263</v>
      </c>
      <c r="C21" s="5">
        <v>-24.538860066219748</v>
      </c>
      <c r="D21" s="5">
        <v>-5.0101589308357424</v>
      </c>
      <c r="E21" s="1"/>
      <c r="F21" s="1"/>
      <c r="G21" s="1"/>
      <c r="H21" s="14" t="str">
        <f t="shared" si="0"/>
        <v>LP-Ene-24</v>
      </c>
      <c r="I21" s="16">
        <f t="shared" si="1"/>
        <v>-24.538860066219748</v>
      </c>
      <c r="J21" s="14">
        <v>1.4</v>
      </c>
      <c r="K21" s="15">
        <f t="shared" si="2"/>
        <v>-5.0101589308357424</v>
      </c>
      <c r="L21" s="14">
        <v>0.26</v>
      </c>
    </row>
    <row r="22" spans="1:12">
      <c r="A22" s="2" t="s">
        <v>101</v>
      </c>
      <c r="B22" s="13" t="s">
        <v>264</v>
      </c>
      <c r="C22" s="5">
        <v>-10.139671006468859</v>
      </c>
      <c r="D22" s="5">
        <v>-3.3386486872992416</v>
      </c>
      <c r="E22" s="1"/>
      <c r="F22" s="1"/>
      <c r="G22" s="1"/>
      <c r="H22" s="14" t="str">
        <f t="shared" si="0"/>
        <v>LP-Feb-24</v>
      </c>
      <c r="I22" s="16">
        <f t="shared" si="1"/>
        <v>-10.139671006468859</v>
      </c>
      <c r="J22" s="14">
        <v>1.4</v>
      </c>
      <c r="K22" s="15">
        <f t="shared" si="2"/>
        <v>-3.3386486872992416</v>
      </c>
      <c r="L22" s="14">
        <v>0.26</v>
      </c>
    </row>
    <row r="23" spans="1:12">
      <c r="A23" s="2" t="s">
        <v>104</v>
      </c>
      <c r="B23" s="13" t="s">
        <v>265</v>
      </c>
      <c r="C23" s="5">
        <v>-39.185142764489292</v>
      </c>
      <c r="D23" s="5">
        <v>-6.7698680127545945</v>
      </c>
      <c r="E23" s="1"/>
      <c r="F23" s="1"/>
      <c r="G23" s="1"/>
      <c r="H23" s="14" t="str">
        <f t="shared" si="0"/>
        <v>LP-Mar-24</v>
      </c>
      <c r="I23" s="16">
        <f t="shared" si="1"/>
        <v>-39.185142764489292</v>
      </c>
      <c r="J23" s="14">
        <v>1.4</v>
      </c>
      <c r="K23" s="15">
        <f t="shared" si="2"/>
        <v>-6.7698680127545945</v>
      </c>
      <c r="L23" s="14">
        <v>0.26</v>
      </c>
    </row>
    <row r="24" spans="1:12">
      <c r="A24" s="2" t="s">
        <v>107</v>
      </c>
      <c r="B24" s="13" t="s">
        <v>266</v>
      </c>
      <c r="C24" s="5">
        <v>-109.50904720226615</v>
      </c>
      <c r="D24" s="5">
        <v>-15.304291094504933</v>
      </c>
      <c r="E24" s="1"/>
      <c r="F24" s="1"/>
      <c r="G24" s="1"/>
      <c r="H24" s="14" t="str">
        <f t="shared" si="0"/>
        <v>LP-Abr-24</v>
      </c>
      <c r="I24" s="16">
        <f t="shared" si="1"/>
        <v>-109.50904720226615</v>
      </c>
      <c r="J24" s="14">
        <v>1.4</v>
      </c>
      <c r="K24" s="15">
        <f t="shared" si="2"/>
        <v>-15.304291094504933</v>
      </c>
      <c r="L24" s="14">
        <v>0.26</v>
      </c>
    </row>
    <row r="25" spans="1:12">
      <c r="A25" s="2" t="s">
        <v>110</v>
      </c>
      <c r="B25" s="13" t="s">
        <v>267</v>
      </c>
      <c r="C25" s="5">
        <v>-94.613236445394023</v>
      </c>
      <c r="D25" s="5">
        <v>-13.413232129618816</v>
      </c>
      <c r="E25" s="1"/>
      <c r="F25" s="1"/>
      <c r="G25" s="1"/>
      <c r="H25" s="14" t="str">
        <f t="shared" si="0"/>
        <v>LP-May-24</v>
      </c>
      <c r="I25" s="16">
        <f t="shared" si="1"/>
        <v>-94.613236445394023</v>
      </c>
      <c r="J25" s="14">
        <v>1.4</v>
      </c>
      <c r="K25" s="15">
        <f t="shared" si="2"/>
        <v>-13.413232129618816</v>
      </c>
      <c r="L25" s="14">
        <v>0.26</v>
      </c>
    </row>
    <row r="26" spans="1:12">
      <c r="A26" s="2" t="s">
        <v>113</v>
      </c>
      <c r="B26" s="13" t="s">
        <v>268</v>
      </c>
      <c r="C26" s="5">
        <v>-56.182263790471538</v>
      </c>
      <c r="D26" s="5">
        <v>-8.8121927273394771</v>
      </c>
      <c r="E26" s="1"/>
      <c r="F26" s="1"/>
      <c r="G26" s="1"/>
      <c r="H26" s="14" t="str">
        <f t="shared" si="0"/>
        <v>LP-Ago-24</v>
      </c>
      <c r="I26" s="16">
        <f t="shared" si="1"/>
        <v>-56.182263790471538</v>
      </c>
      <c r="J26" s="14">
        <v>1.4</v>
      </c>
      <c r="K26" s="15">
        <f t="shared" si="2"/>
        <v>-8.8121927273394771</v>
      </c>
      <c r="L26" s="14">
        <v>0.26</v>
      </c>
    </row>
    <row r="27" spans="1:12">
      <c r="A27" s="2" t="s">
        <v>118</v>
      </c>
      <c r="B27" s="13" t="s">
        <v>269</v>
      </c>
      <c r="C27" s="5">
        <v>-11.46602421552873</v>
      </c>
      <c r="D27" s="5">
        <v>-4.3462967064524509</v>
      </c>
      <c r="E27" s="1"/>
      <c r="F27" s="1"/>
      <c r="G27" s="1"/>
      <c r="H27" s="14" t="str">
        <f t="shared" si="0"/>
        <v>LP-Oct-24</v>
      </c>
      <c r="I27" s="16">
        <f t="shared" si="1"/>
        <v>-11.46602421552873</v>
      </c>
      <c r="J27" s="14">
        <v>1.4</v>
      </c>
      <c r="K27" s="15">
        <f t="shared" si="2"/>
        <v>-4.3462967064524509</v>
      </c>
      <c r="L27" s="14">
        <v>0.26</v>
      </c>
    </row>
    <row r="28" spans="1:12">
      <c r="A28" s="2" t="s">
        <v>121</v>
      </c>
      <c r="B28" s="13" t="s">
        <v>270</v>
      </c>
      <c r="C28" s="5">
        <v>-3.8819941807330558</v>
      </c>
      <c r="D28" s="5">
        <v>-1.6050199070525897</v>
      </c>
      <c r="E28" s="1"/>
      <c r="F28" s="1"/>
      <c r="G28" s="1"/>
      <c r="H28" s="14" t="str">
        <f t="shared" si="0"/>
        <v>LP-Nov-24</v>
      </c>
      <c r="I28" s="16">
        <f t="shared" si="1"/>
        <v>-3.8819941807330558</v>
      </c>
      <c r="J28" s="14">
        <v>1.4</v>
      </c>
      <c r="K28" s="15">
        <f t="shared" si="2"/>
        <v>-1.6050199070525897</v>
      </c>
      <c r="L28" s="14">
        <v>0.26</v>
      </c>
    </row>
    <row r="29" spans="1:12">
      <c r="A29" s="2" t="s">
        <v>124</v>
      </c>
      <c r="B29" s="13" t="s">
        <v>271</v>
      </c>
      <c r="C29" s="5">
        <v>9.7231681949767967</v>
      </c>
      <c r="D29" s="5">
        <v>1.1746660639008766</v>
      </c>
      <c r="E29" s="1"/>
      <c r="F29" s="1"/>
      <c r="G29" s="1"/>
      <c r="H29" s="14" t="str">
        <f t="shared" si="0"/>
        <v>LP-Dic-24</v>
      </c>
      <c r="I29" s="16">
        <f t="shared" si="1"/>
        <v>9.7231681949767967</v>
      </c>
      <c r="J29" s="14">
        <v>1.4</v>
      </c>
      <c r="K29" s="15">
        <f t="shared" si="2"/>
        <v>1.1746660639008766</v>
      </c>
      <c r="L29" s="14">
        <v>0.26</v>
      </c>
    </row>
    <row r="30" spans="1:12">
      <c r="A30" s="2" t="s">
        <v>127</v>
      </c>
      <c r="B30" s="13" t="s">
        <v>272</v>
      </c>
      <c r="C30" s="5">
        <v>-12.144010208902554</v>
      </c>
      <c r="D30" s="5">
        <v>-2.781478606120408</v>
      </c>
      <c r="E30" s="1"/>
      <c r="F30" s="1"/>
      <c r="G30" s="1"/>
      <c r="H30" s="14" t="str">
        <f t="shared" si="0"/>
        <v>LP-Ene-25</v>
      </c>
      <c r="I30" s="16">
        <f t="shared" si="1"/>
        <v>-12.144010208902554</v>
      </c>
      <c r="J30" s="14">
        <v>1.4</v>
      </c>
      <c r="K30" s="15">
        <f t="shared" si="2"/>
        <v>-2.781478606120408</v>
      </c>
      <c r="L30" s="14">
        <v>0.26</v>
      </c>
    </row>
    <row r="31" spans="1:12">
      <c r="A31" s="2" t="s">
        <v>130</v>
      </c>
      <c r="B31" s="13" t="s">
        <v>273</v>
      </c>
      <c r="C31" s="5">
        <v>-23.621489431259715</v>
      </c>
      <c r="D31" s="5">
        <v>-4.6587861392157297</v>
      </c>
      <c r="E31" s="1"/>
      <c r="F31" s="1"/>
      <c r="G31" s="1"/>
      <c r="H31" s="14" t="str">
        <f t="shared" si="0"/>
        <v>LP-Feb-25</v>
      </c>
      <c r="I31" s="16">
        <f t="shared" si="1"/>
        <v>-23.621489431259715</v>
      </c>
      <c r="J31" s="14">
        <v>1.4</v>
      </c>
      <c r="K31" s="15">
        <f t="shared" si="2"/>
        <v>-4.6587861392157297</v>
      </c>
      <c r="L31" s="14">
        <v>0.26</v>
      </c>
    </row>
    <row r="32" spans="1:12">
      <c r="A32" s="2" t="s">
        <v>135</v>
      </c>
      <c r="B32" s="13" t="s">
        <v>274</v>
      </c>
      <c r="C32" s="5">
        <v>-43.949708605416191</v>
      </c>
      <c r="D32" s="5">
        <v>-7.4925294627261207</v>
      </c>
      <c r="E32" s="1"/>
      <c r="F32" s="1"/>
      <c r="G32" s="1"/>
      <c r="H32" s="14" t="str">
        <f t="shared" si="0"/>
        <v>LP-Mar-25</v>
      </c>
      <c r="I32" s="16">
        <f t="shared" si="1"/>
        <v>-43.949708605416191</v>
      </c>
      <c r="J32" s="14">
        <v>1.4</v>
      </c>
      <c r="K32" s="15">
        <f t="shared" si="2"/>
        <v>-7.4925294627261207</v>
      </c>
      <c r="L32" s="14">
        <v>0.26</v>
      </c>
    </row>
    <row r="33" spans="1:12">
      <c r="A33" s="2" t="s">
        <v>138</v>
      </c>
      <c r="B33" s="13" t="s">
        <v>275</v>
      </c>
      <c r="C33" s="5">
        <v>-34.380003255496931</v>
      </c>
      <c r="D33" s="5">
        <v>-5.8347706509804169</v>
      </c>
      <c r="E33" s="1"/>
      <c r="F33" s="1"/>
      <c r="G33" s="1"/>
      <c r="H33" s="14" t="str">
        <f t="shared" si="0"/>
        <v>LP-Abr-25</v>
      </c>
      <c r="I33" s="16">
        <f t="shared" si="1"/>
        <v>-34.380003255496931</v>
      </c>
      <c r="J33" s="14">
        <v>1.4</v>
      </c>
      <c r="K33" s="15">
        <f t="shared" si="2"/>
        <v>-5.8347706509804169</v>
      </c>
      <c r="L33" s="14">
        <v>0.26</v>
      </c>
    </row>
    <row r="34" spans="1:12">
      <c r="A34" s="2" t="s">
        <v>141</v>
      </c>
      <c r="B34" s="13" t="s">
        <v>276</v>
      </c>
      <c r="C34" s="5">
        <v>-90.456869888768367</v>
      </c>
      <c r="D34" s="5">
        <v>-12.168964646203277</v>
      </c>
      <c r="E34" s="1"/>
      <c r="F34" s="1"/>
      <c r="G34" s="1"/>
      <c r="H34" s="14" t="str">
        <f t="shared" si="0"/>
        <v>LP-May-25</v>
      </c>
      <c r="I34" s="16">
        <f t="shared" si="1"/>
        <v>-90.456869888768367</v>
      </c>
      <c r="J34" s="14">
        <v>1.4</v>
      </c>
      <c r="K34" s="15">
        <f t="shared" si="2"/>
        <v>-12.168964646203277</v>
      </c>
      <c r="L34" s="14">
        <v>0.26</v>
      </c>
    </row>
    <row r="35" spans="1:12">
      <c r="A35" s="2" t="s">
        <v>144</v>
      </c>
      <c r="B35" s="13" t="s">
        <v>277</v>
      </c>
      <c r="C35" s="5">
        <v>-76.389979170473595</v>
      </c>
      <c r="D35" s="5">
        <v>-11.461003002628809</v>
      </c>
      <c r="E35" s="1"/>
      <c r="F35" s="1"/>
      <c r="G35" s="1"/>
      <c r="H35" s="14" t="str">
        <f t="shared" si="0"/>
        <v>LP-Jun-25</v>
      </c>
      <c r="I35" s="16">
        <f t="shared" si="1"/>
        <v>-76.389979170473595</v>
      </c>
      <c r="J35" s="14">
        <v>1.4</v>
      </c>
      <c r="K35" s="15">
        <f t="shared" si="2"/>
        <v>-11.461003002628809</v>
      </c>
      <c r="L35" s="14">
        <v>0.26</v>
      </c>
    </row>
    <row r="36" spans="1:12">
      <c r="A36" s="2" t="s">
        <v>147</v>
      </c>
      <c r="B36" s="13" t="s">
        <v>278</v>
      </c>
      <c r="C36" s="5">
        <v>-51.855082091290285</v>
      </c>
      <c r="D36" s="5">
        <v>-7.9766746992227917</v>
      </c>
      <c r="E36" s="1"/>
      <c r="F36" s="1"/>
      <c r="G36" s="1"/>
      <c r="H36" s="14" t="str">
        <f t="shared" si="0"/>
        <v>LP-Jul-25</v>
      </c>
      <c r="I36" s="16">
        <f t="shared" si="1"/>
        <v>-51.855082091290285</v>
      </c>
      <c r="J36" s="14">
        <v>1.4</v>
      </c>
      <c r="K36" s="15">
        <f t="shared" si="2"/>
        <v>-7.9766746992227917</v>
      </c>
      <c r="L36" s="14">
        <v>0.26</v>
      </c>
    </row>
    <row r="37" spans="1:12">
      <c r="A37" s="2" t="s">
        <v>152</v>
      </c>
      <c r="B37" s="13" t="s">
        <v>279</v>
      </c>
      <c r="C37" s="5">
        <v>-30.740950966705874</v>
      </c>
      <c r="D37" s="5">
        <v>-6.3943116686749049</v>
      </c>
      <c r="E37" s="1"/>
      <c r="F37" s="1"/>
      <c r="G37" s="1"/>
      <c r="H37" s="14" t="str">
        <f t="shared" si="0"/>
        <v>LP-Ago-25</v>
      </c>
      <c r="I37" s="16">
        <f t="shared" si="1"/>
        <v>-30.740950966705874</v>
      </c>
      <c r="J37" s="14">
        <v>1.4</v>
      </c>
      <c r="K37" s="15">
        <f t="shared" si="2"/>
        <v>-6.3943116686749049</v>
      </c>
      <c r="L37" s="14">
        <v>0.26</v>
      </c>
    </row>
    <row r="38" spans="1:12">
      <c r="A38" s="2" t="s">
        <v>155</v>
      </c>
      <c r="B38" s="13" t="s">
        <v>280</v>
      </c>
      <c r="C38" s="5">
        <v>-24.39279486118409</v>
      </c>
      <c r="D38" s="5">
        <v>-5.7598490570857308</v>
      </c>
      <c r="E38" s="1"/>
      <c r="F38" s="1"/>
      <c r="G38" s="1"/>
      <c r="H38" s="14" t="str">
        <f t="shared" si="0"/>
        <v>LP-Sep-25</v>
      </c>
      <c r="I38" s="16">
        <f t="shared" si="1"/>
        <v>-24.39279486118409</v>
      </c>
      <c r="J38" s="14">
        <v>1.4</v>
      </c>
      <c r="K38" s="15">
        <f t="shared" si="2"/>
        <v>-5.7598490570857308</v>
      </c>
      <c r="L38" s="14">
        <v>0.26</v>
      </c>
    </row>
    <row r="39" spans="1:12">
      <c r="A39" s="2" t="s">
        <v>158</v>
      </c>
      <c r="B39" s="13" t="s">
        <v>281</v>
      </c>
      <c r="C39" s="5">
        <v>-29.110700983835716</v>
      </c>
      <c r="D39" s="5">
        <v>-5.453998246566286</v>
      </c>
      <c r="E39" s="1"/>
      <c r="F39" s="1"/>
      <c r="G39" s="1"/>
      <c r="H39" s="14" t="str">
        <f t="shared" si="0"/>
        <v>LP-Oct-25</v>
      </c>
      <c r="I39" s="16">
        <f t="shared" si="1"/>
        <v>-29.110700983835716</v>
      </c>
      <c r="J39" s="14">
        <v>1.4</v>
      </c>
      <c r="K39" s="15">
        <f t="shared" si="2"/>
        <v>-5.453998246566286</v>
      </c>
      <c r="L39" s="14">
        <v>0.26</v>
      </c>
    </row>
    <row r="40" spans="1:12">
      <c r="A40" s="2" t="s">
        <v>161</v>
      </c>
      <c r="B40" s="13" t="s">
        <v>282</v>
      </c>
      <c r="C40" s="5">
        <v>-15.921418705796825</v>
      </c>
      <c r="D40" s="5">
        <v>-4.5554133071331879</v>
      </c>
      <c r="E40" s="1"/>
      <c r="F40" s="1"/>
      <c r="G40" s="1"/>
      <c r="H40" s="14" t="str">
        <f t="shared" si="0"/>
        <v>LP-Nov-25</v>
      </c>
      <c r="I40" s="16">
        <f t="shared" si="1"/>
        <v>-15.921418705796825</v>
      </c>
      <c r="J40" s="14">
        <v>1.4</v>
      </c>
      <c r="K40" s="15">
        <f t="shared" si="2"/>
        <v>-4.5554133071331879</v>
      </c>
      <c r="L40" s="14">
        <v>0.26</v>
      </c>
    </row>
    <row r="41" spans="1:12">
      <c r="A41" s="2" t="s">
        <v>164</v>
      </c>
      <c r="B41" s="13" t="s">
        <v>283</v>
      </c>
      <c r="C41" s="5">
        <v>-14.428713457668572</v>
      </c>
      <c r="D41" s="5">
        <v>-3.7801170665141299</v>
      </c>
      <c r="E41" s="1"/>
      <c r="F41" s="1"/>
      <c r="G41" s="1"/>
      <c r="H41" s="14" t="str">
        <f t="shared" si="0"/>
        <v>LP-Dic-25</v>
      </c>
      <c r="I41" s="16">
        <f t="shared" si="1"/>
        <v>-14.428713457668572</v>
      </c>
      <c r="J41" s="14">
        <v>1.4</v>
      </c>
      <c r="K41" s="15">
        <f t="shared" si="2"/>
        <v>-3.7801170665141299</v>
      </c>
      <c r="L41" s="14">
        <v>0.26</v>
      </c>
    </row>
    <row r="42" spans="1:12">
      <c r="A42" s="2" t="s">
        <v>169</v>
      </c>
      <c r="B42" s="13" t="s">
        <v>284</v>
      </c>
      <c r="C42" s="5">
        <v>-14.848650922146089</v>
      </c>
      <c r="D42" s="5">
        <v>-4.383757503399794</v>
      </c>
      <c r="E42" s="1"/>
      <c r="F42" s="1"/>
      <c r="G42" s="1"/>
      <c r="H42" s="14" t="str">
        <f t="shared" si="0"/>
        <v>LP-Ene-26</v>
      </c>
      <c r="I42" s="16">
        <f t="shared" si="1"/>
        <v>-14.848650922146089</v>
      </c>
      <c r="J42" s="14">
        <v>1.4</v>
      </c>
      <c r="K42" s="15">
        <f t="shared" si="2"/>
        <v>-4.383757503399794</v>
      </c>
      <c r="L42" s="14">
        <v>0.26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2C39-2663-4701-905D-E059A84E796A}">
  <dimension ref="A1:N23"/>
  <sheetViews>
    <sheetView workbookViewId="0">
      <selection activeCell="D18" sqref="D18"/>
    </sheetView>
  </sheetViews>
  <sheetFormatPr defaultRowHeight="12.75"/>
  <cols>
    <col min="1" max="1" width="23.7109375" style="2" bestFit="1" customWidth="1"/>
    <col min="2" max="2" width="10.5703125" style="2" bestFit="1" customWidth="1"/>
    <col min="3" max="3" width="16.85546875" style="2" customWidth="1"/>
    <col min="4" max="4" width="18.7109375" style="2" customWidth="1"/>
    <col min="5" max="5" width="13.42578125" style="2" customWidth="1"/>
    <col min="6" max="6" width="11.28515625" style="2" bestFit="1" customWidth="1"/>
    <col min="7" max="7" width="11" style="2" bestFit="1" customWidth="1"/>
    <col min="8" max="8" width="10.7109375" style="2" bestFit="1" customWidth="1"/>
    <col min="9" max="9" width="11.42578125" style="2" bestFit="1" customWidth="1"/>
    <col min="10" max="10" width="11.5703125" style="2" bestFit="1" customWidth="1"/>
    <col min="11" max="11" width="12.28515625" style="2" bestFit="1" customWidth="1"/>
    <col min="12" max="12" width="14.42578125" style="2" bestFit="1" customWidth="1"/>
    <col min="13" max="13" width="15.140625" style="2" bestFit="1" customWidth="1"/>
    <col min="14" max="14" width="12" style="2" bestFit="1" customWidth="1"/>
    <col min="15" max="16384" width="9.140625" style="2"/>
  </cols>
  <sheetData>
    <row r="1" spans="1:14">
      <c r="A1" s="3" t="s">
        <v>285</v>
      </c>
      <c r="E1" s="3" t="s">
        <v>286</v>
      </c>
    </row>
    <row r="3" spans="1:14">
      <c r="A3" s="3" t="s">
        <v>287</v>
      </c>
      <c r="B3" s="3" t="s">
        <v>288</v>
      </c>
      <c r="C3" s="3" t="s">
        <v>289</v>
      </c>
      <c r="D3" s="3" t="s">
        <v>290</v>
      </c>
      <c r="E3" s="3" t="s">
        <v>291</v>
      </c>
      <c r="F3" s="3" t="s">
        <v>292</v>
      </c>
      <c r="G3" s="3" t="s">
        <v>293</v>
      </c>
      <c r="H3" s="3" t="s">
        <v>294</v>
      </c>
      <c r="I3" s="3" t="s">
        <v>295</v>
      </c>
      <c r="J3" s="3" t="s">
        <v>296</v>
      </c>
      <c r="K3" s="3" t="s">
        <v>297</v>
      </c>
      <c r="L3" s="3" t="s">
        <v>298</v>
      </c>
      <c r="M3" s="3" t="s">
        <v>299</v>
      </c>
      <c r="N3" s="3" t="s">
        <v>300</v>
      </c>
    </row>
    <row r="4" spans="1:14">
      <c r="A4" s="2" t="s">
        <v>301</v>
      </c>
      <c r="B4" s="2" t="s">
        <v>302</v>
      </c>
      <c r="C4" s="2">
        <v>-0.49</v>
      </c>
      <c r="D4" s="2">
        <v>1.34</v>
      </c>
      <c r="E4" s="5">
        <f>$C4</f>
        <v>-0.49</v>
      </c>
      <c r="F4" s="5">
        <f>$C4+$D4</f>
        <v>0.85000000000000009</v>
      </c>
      <c r="G4" s="5">
        <f t="shared" ref="F4:N12" si="0">$C4</f>
        <v>-0.49</v>
      </c>
      <c r="H4" s="5">
        <f t="shared" si="0"/>
        <v>-0.49</v>
      </c>
      <c r="I4" s="5">
        <f t="shared" si="0"/>
        <v>-0.49</v>
      </c>
      <c r="J4" s="5">
        <f t="shared" si="0"/>
        <v>-0.49</v>
      </c>
      <c r="K4" s="5">
        <f t="shared" si="0"/>
        <v>-0.49</v>
      </c>
      <c r="L4" s="5">
        <f t="shared" si="0"/>
        <v>-0.49</v>
      </c>
      <c r="M4" s="5">
        <f t="shared" si="0"/>
        <v>-0.49</v>
      </c>
      <c r="N4" s="5">
        <f t="shared" si="0"/>
        <v>-0.49</v>
      </c>
    </row>
    <row r="5" spans="1:14">
      <c r="A5" s="2" t="s">
        <v>303</v>
      </c>
      <c r="B5" s="2" t="s">
        <v>304</v>
      </c>
      <c r="C5" s="5">
        <f>+'2H proc'!C4</f>
        <v>255.38166666666666</v>
      </c>
      <c r="D5" s="2">
        <v>1.34</v>
      </c>
      <c r="E5" s="5">
        <f t="shared" ref="E5:F12" si="1">C5</f>
        <v>255.38166666666666</v>
      </c>
      <c r="F5" s="5">
        <f t="shared" si="0"/>
        <v>255.38166666666666</v>
      </c>
      <c r="G5" s="5">
        <f>$C5+$D5</f>
        <v>256.72166666666664</v>
      </c>
      <c r="H5" s="5">
        <f t="shared" si="0"/>
        <v>255.38166666666666</v>
      </c>
      <c r="I5" s="5">
        <f t="shared" si="0"/>
        <v>255.38166666666666</v>
      </c>
      <c r="J5" s="5">
        <f t="shared" si="0"/>
        <v>255.38166666666666</v>
      </c>
      <c r="K5" s="5">
        <f t="shared" si="0"/>
        <v>255.38166666666666</v>
      </c>
      <c r="L5" s="5">
        <f t="shared" si="0"/>
        <v>255.38166666666666</v>
      </c>
      <c r="M5" s="5">
        <f t="shared" si="0"/>
        <v>255.38166666666666</v>
      </c>
      <c r="N5" s="5">
        <f t="shared" si="0"/>
        <v>255.38166666666666</v>
      </c>
    </row>
    <row r="6" spans="1:14">
      <c r="A6" s="2" t="s">
        <v>305</v>
      </c>
      <c r="B6" s="2" t="s">
        <v>306</v>
      </c>
      <c r="C6" s="2">
        <v>-36.92</v>
      </c>
      <c r="D6" s="2">
        <v>1.34</v>
      </c>
      <c r="E6" s="5">
        <f t="shared" si="1"/>
        <v>-36.92</v>
      </c>
      <c r="F6" s="5">
        <f t="shared" si="0"/>
        <v>-36.92</v>
      </c>
      <c r="G6" s="5">
        <f t="shared" si="0"/>
        <v>-36.92</v>
      </c>
      <c r="H6" s="5">
        <f>$C6+$D6</f>
        <v>-35.58</v>
      </c>
      <c r="I6" s="5">
        <f t="shared" si="0"/>
        <v>-36.92</v>
      </c>
      <c r="J6" s="5">
        <f t="shared" si="0"/>
        <v>-36.92</v>
      </c>
      <c r="K6" s="5">
        <f t="shared" si="0"/>
        <v>-36.92</v>
      </c>
      <c r="L6" s="5">
        <f t="shared" si="0"/>
        <v>-36.92</v>
      </c>
      <c r="M6" s="5">
        <f t="shared" si="0"/>
        <v>-36.92</v>
      </c>
      <c r="N6" s="5">
        <f t="shared" si="0"/>
        <v>-36.92</v>
      </c>
    </row>
    <row r="7" spans="1:14">
      <c r="A7" s="2" t="s">
        <v>307</v>
      </c>
      <c r="B7" s="2" t="s">
        <v>308</v>
      </c>
      <c r="C7" s="5">
        <f>+'2H proc'!D4</f>
        <v>207.33822727272721</v>
      </c>
      <c r="D7" s="2">
        <v>1.34</v>
      </c>
      <c r="E7" s="5">
        <f t="shared" si="1"/>
        <v>207.33822727272721</v>
      </c>
      <c r="F7" s="5">
        <f t="shared" si="0"/>
        <v>207.33822727272721</v>
      </c>
      <c r="G7" s="5">
        <f t="shared" si="0"/>
        <v>207.33822727272721</v>
      </c>
      <c r="H7" s="5">
        <f t="shared" si="0"/>
        <v>207.33822727272721</v>
      </c>
      <c r="I7" s="5">
        <f>$C7+$D7</f>
        <v>208.67822727272721</v>
      </c>
      <c r="J7" s="5">
        <f t="shared" si="0"/>
        <v>207.33822727272721</v>
      </c>
      <c r="K7" s="5">
        <f t="shared" si="0"/>
        <v>207.33822727272721</v>
      </c>
      <c r="L7" s="5">
        <f t="shared" si="0"/>
        <v>207.33822727272721</v>
      </c>
      <c r="M7" s="5">
        <f t="shared" si="0"/>
        <v>207.33822727272721</v>
      </c>
      <c r="N7" s="5">
        <f t="shared" si="0"/>
        <v>207.33822727272721</v>
      </c>
    </row>
    <row r="8" spans="1:14">
      <c r="A8" s="2" t="s">
        <v>309</v>
      </c>
      <c r="B8" s="2" t="s">
        <v>310</v>
      </c>
      <c r="C8" s="2">
        <v>-72.069999999999993</v>
      </c>
      <c r="D8" s="2">
        <v>1.34</v>
      </c>
      <c r="E8" s="5">
        <f t="shared" si="1"/>
        <v>-72.069999999999993</v>
      </c>
      <c r="F8" s="5">
        <f t="shared" si="0"/>
        <v>-72.069999999999993</v>
      </c>
      <c r="G8" s="5">
        <f t="shared" si="0"/>
        <v>-72.069999999999993</v>
      </c>
      <c r="H8" s="5">
        <f t="shared" si="0"/>
        <v>-72.069999999999993</v>
      </c>
      <c r="I8" s="5">
        <f t="shared" si="0"/>
        <v>-72.069999999999993</v>
      </c>
      <c r="J8" s="5">
        <f>$C8+$D8</f>
        <v>-70.72999999999999</v>
      </c>
      <c r="K8" s="5">
        <f t="shared" si="0"/>
        <v>-72.069999999999993</v>
      </c>
      <c r="L8" s="5">
        <f t="shared" si="0"/>
        <v>-72.069999999999993</v>
      </c>
      <c r="M8" s="5">
        <f t="shared" si="0"/>
        <v>-72.069999999999993</v>
      </c>
      <c r="N8" s="5">
        <f t="shared" si="0"/>
        <v>-72.069999999999993</v>
      </c>
    </row>
    <row r="9" spans="1:14">
      <c r="A9" s="2" t="s">
        <v>311</v>
      </c>
      <c r="B9" s="2" t="s">
        <v>312</v>
      </c>
      <c r="C9" s="5">
        <f>+'2H proc'!E4</f>
        <v>166.05416666666665</v>
      </c>
      <c r="D9" s="2">
        <v>1.34</v>
      </c>
      <c r="E9" s="5">
        <f t="shared" si="1"/>
        <v>166.05416666666665</v>
      </c>
      <c r="F9" s="5">
        <f t="shared" si="0"/>
        <v>166.05416666666665</v>
      </c>
      <c r="G9" s="5">
        <f t="shared" si="0"/>
        <v>166.05416666666665</v>
      </c>
      <c r="H9" s="5">
        <f t="shared" si="0"/>
        <v>166.05416666666665</v>
      </c>
      <c r="I9" s="5">
        <f t="shared" si="0"/>
        <v>166.05416666666665</v>
      </c>
      <c r="J9" s="5">
        <f t="shared" si="0"/>
        <v>166.05416666666665</v>
      </c>
      <c r="K9" s="5">
        <f>$C9+$D9</f>
        <v>167.39416666666665</v>
      </c>
      <c r="L9" s="5">
        <f t="shared" si="0"/>
        <v>166.05416666666665</v>
      </c>
      <c r="M9" s="5">
        <f t="shared" si="0"/>
        <v>166.05416666666665</v>
      </c>
      <c r="N9" s="5">
        <f t="shared" si="0"/>
        <v>166.05416666666665</v>
      </c>
    </row>
    <row r="10" spans="1:14">
      <c r="A10" s="2" t="s">
        <v>313</v>
      </c>
      <c r="B10" s="2" t="s">
        <v>314</v>
      </c>
      <c r="C10" s="2">
        <v>-94.89</v>
      </c>
      <c r="D10" s="2">
        <v>1.34</v>
      </c>
      <c r="E10" s="5">
        <f t="shared" si="1"/>
        <v>-94.89</v>
      </c>
      <c r="F10" s="5">
        <f t="shared" si="0"/>
        <v>-94.89</v>
      </c>
      <c r="G10" s="5">
        <f t="shared" si="0"/>
        <v>-94.89</v>
      </c>
      <c r="H10" s="5">
        <f t="shared" si="0"/>
        <v>-94.89</v>
      </c>
      <c r="I10" s="5">
        <f t="shared" si="0"/>
        <v>-94.89</v>
      </c>
      <c r="J10" s="5">
        <f t="shared" si="0"/>
        <v>-94.89</v>
      </c>
      <c r="K10" s="5">
        <f t="shared" si="0"/>
        <v>-94.89</v>
      </c>
      <c r="L10" s="5">
        <f>$C10+$D10</f>
        <v>-93.55</v>
      </c>
      <c r="M10" s="5">
        <f t="shared" si="0"/>
        <v>-94.89</v>
      </c>
      <c r="N10" s="5">
        <f t="shared" si="0"/>
        <v>-94.89</v>
      </c>
    </row>
    <row r="11" spans="1:14">
      <c r="A11" s="2" t="s">
        <v>315</v>
      </c>
      <c r="B11" s="2" t="s">
        <v>316</v>
      </c>
      <c r="C11" s="5">
        <f>+'2H proc'!F4</f>
        <v>138.85283333333334</v>
      </c>
      <c r="D11" s="2">
        <v>1.34</v>
      </c>
      <c r="E11" s="5">
        <f t="shared" si="1"/>
        <v>138.85283333333334</v>
      </c>
      <c r="F11" s="5">
        <f t="shared" si="0"/>
        <v>138.85283333333334</v>
      </c>
      <c r="G11" s="5">
        <f t="shared" si="0"/>
        <v>138.85283333333334</v>
      </c>
      <c r="H11" s="5">
        <f t="shared" si="0"/>
        <v>138.85283333333334</v>
      </c>
      <c r="I11" s="5">
        <f t="shared" si="0"/>
        <v>138.85283333333334</v>
      </c>
      <c r="J11" s="5">
        <f t="shared" si="0"/>
        <v>138.85283333333334</v>
      </c>
      <c r="K11" s="5">
        <f t="shared" si="0"/>
        <v>138.85283333333334</v>
      </c>
      <c r="L11" s="5">
        <f t="shared" si="0"/>
        <v>138.85283333333334</v>
      </c>
      <c r="M11" s="5">
        <f>$C11+$D11</f>
        <v>140.19283333333334</v>
      </c>
      <c r="N11" s="5">
        <f t="shared" si="0"/>
        <v>138.85283333333334</v>
      </c>
    </row>
    <row r="12" spans="1:14">
      <c r="A12" s="2" t="s">
        <v>317</v>
      </c>
      <c r="B12" s="2" t="s">
        <v>318</v>
      </c>
      <c r="C12" s="2">
        <v>204</v>
      </c>
      <c r="D12" s="2">
        <v>1.34</v>
      </c>
      <c r="E12" s="5">
        <f t="shared" si="1"/>
        <v>204</v>
      </c>
      <c r="F12" s="5">
        <f t="shared" si="0"/>
        <v>204</v>
      </c>
      <c r="G12" s="5">
        <f t="shared" si="0"/>
        <v>204</v>
      </c>
      <c r="H12" s="5">
        <f t="shared" si="0"/>
        <v>204</v>
      </c>
      <c r="I12" s="5">
        <f t="shared" si="0"/>
        <v>204</v>
      </c>
      <c r="J12" s="5">
        <f t="shared" si="0"/>
        <v>204</v>
      </c>
      <c r="K12" s="5">
        <f t="shared" si="0"/>
        <v>204</v>
      </c>
      <c r="L12" s="5">
        <f t="shared" si="0"/>
        <v>204</v>
      </c>
      <c r="M12" s="5">
        <f t="shared" si="0"/>
        <v>204</v>
      </c>
      <c r="N12" s="5">
        <f>$C12+$D12</f>
        <v>205.34</v>
      </c>
    </row>
    <row r="14" spans="1:14">
      <c r="C14" s="3" t="s">
        <v>319</v>
      </c>
    </row>
    <row r="15" spans="1:14">
      <c r="D15" s="3" t="s">
        <v>320</v>
      </c>
      <c r="E15" s="11">
        <f>SLOPE(_xlfn.VSTACK(E5,E7,E9,E11),_xlfn.VSTACK(E4, E6,E8,E10))</f>
        <v>1.2298734227285104</v>
      </c>
      <c r="F15" s="11">
        <f t="shared" ref="F15:N15" si="2">SLOPE(_xlfn.VSTACK(F5,F7,F9,F11),_xlfn.VSTACK(F4, F6,F8,F10))</f>
        <v>1.214010125870147</v>
      </c>
      <c r="G15" s="11">
        <f t="shared" si="2"/>
        <v>1.2431176943437445</v>
      </c>
      <c r="H15" s="11">
        <f t="shared" si="2"/>
        <v>1.2245058986688504</v>
      </c>
      <c r="I15" s="11">
        <f t="shared" si="2"/>
        <v>1.2335828133607303</v>
      </c>
      <c r="J15" s="11">
        <f t="shared" si="2"/>
        <v>1.2363581651794042</v>
      </c>
      <c r="K15" s="11">
        <f t="shared" si="2"/>
        <v>1.2243829487833775</v>
      </c>
      <c r="L15" s="11">
        <f t="shared" si="2"/>
        <v>1.2441849264343443</v>
      </c>
      <c r="M15" s="11">
        <f t="shared" si="2"/>
        <v>1.2184102344261887</v>
      </c>
      <c r="N15" s="11">
        <f t="shared" si="2"/>
        <v>1.2298734227285104</v>
      </c>
    </row>
    <row r="16" spans="1:14">
      <c r="D16" s="3" t="s">
        <v>321</v>
      </c>
      <c r="E16" s="5">
        <f>+INTERCEPT(_xlfn.VSTACK(E5,E7,E9,E11),_xlfn.VSTACK(E4, E6,E8,E10))</f>
        <v>254.74403133560489</v>
      </c>
      <c r="F16" s="5">
        <f t="shared" ref="F16:N16" si="3">+INTERCEPT(_xlfn.VSTACK(F5,F7,F9,F11),_xlfn.VSTACK(F4, F6,F8,F10))</f>
        <v>253.52684244870244</v>
      </c>
      <c r="G16" s="5">
        <f t="shared" si="3"/>
        <v>255.75571428310624</v>
      </c>
      <c r="H16" s="5">
        <f t="shared" si="3"/>
        <v>254.05958163653264</v>
      </c>
      <c r="I16" s="5">
        <f t="shared" si="3"/>
        <v>255.26855337648158</v>
      </c>
      <c r="J16" s="5">
        <f t="shared" si="3"/>
        <v>254.66117305394206</v>
      </c>
      <c r="K16" s="5">
        <f t="shared" si="3"/>
        <v>254.79850929556318</v>
      </c>
      <c r="L16" s="5">
        <f t="shared" si="3"/>
        <v>255.05843988833971</v>
      </c>
      <c r="M16" s="5">
        <f t="shared" si="3"/>
        <v>254.49334838726853</v>
      </c>
      <c r="N16" s="5">
        <f t="shared" si="3"/>
        <v>254.74403133560489</v>
      </c>
    </row>
    <row r="17" spans="4:14">
      <c r="D17" s="3" t="s">
        <v>322</v>
      </c>
      <c r="E17" s="5">
        <f>+(E12-E16)/E15</f>
        <v>-41.259555981808077</v>
      </c>
      <c r="F17" s="5">
        <f t="shared" ref="F17:N17" si="4">+(F12-F16)/F15</f>
        <v>-40.796070307242175</v>
      </c>
      <c r="G17" s="5">
        <f t="shared" si="4"/>
        <v>-41.63380065990345</v>
      </c>
      <c r="H17" s="5">
        <f t="shared" si="4"/>
        <v>-40.88145405502086</v>
      </c>
      <c r="I17" s="5">
        <f t="shared" si="4"/>
        <v>-41.560690389976578</v>
      </c>
      <c r="J17" s="5">
        <f t="shared" si="4"/>
        <v>-40.97613012212426</v>
      </c>
      <c r="K17" s="5">
        <f t="shared" si="4"/>
        <v>-41.489069531750431</v>
      </c>
      <c r="L17" s="5">
        <f t="shared" si="4"/>
        <v>-41.037661527266593</v>
      </c>
      <c r="M17" s="5">
        <f t="shared" si="4"/>
        <v>-41.441992984446991</v>
      </c>
      <c r="N17" s="5">
        <f t="shared" si="4"/>
        <v>-40.170012964424082</v>
      </c>
    </row>
    <row r="18" spans="4:14">
      <c r="E18" s="10"/>
    </row>
    <row r="19" spans="4:14" ht="13.5">
      <c r="E19" s="12" t="s">
        <v>323</v>
      </c>
      <c r="F19" s="5">
        <f>F17-$E$17</f>
        <v>0.46348567456590217</v>
      </c>
      <c r="G19" s="5">
        <f t="shared" ref="G19:N19" si="5">G17-$E$17</f>
        <v>-0.37424467809537276</v>
      </c>
      <c r="H19" s="5">
        <f t="shared" si="5"/>
        <v>0.37810192678721677</v>
      </c>
      <c r="I19" s="5">
        <f t="shared" si="5"/>
        <v>-0.30113440816850101</v>
      </c>
      <c r="J19" s="5">
        <f t="shared" si="5"/>
        <v>0.28342585968381684</v>
      </c>
      <c r="K19" s="5">
        <f t="shared" si="5"/>
        <v>-0.22951354994235373</v>
      </c>
      <c r="L19" s="5">
        <f t="shared" si="5"/>
        <v>0.22189445454148427</v>
      </c>
      <c r="M19" s="5">
        <f t="shared" si="5"/>
        <v>-0.18243700263891327</v>
      </c>
      <c r="N19" s="5">
        <f t="shared" si="5"/>
        <v>1.0895430173839955</v>
      </c>
    </row>
    <row r="20" spans="4:14">
      <c r="E20" s="3" t="s">
        <v>324</v>
      </c>
      <c r="F20" s="8">
        <f>POWER(F19,2)</f>
        <v>0.21481897052780938</v>
      </c>
      <c r="G20" s="8">
        <f t="shared" ref="G20:N20" si="6">POWER(G19,2)</f>
        <v>0.14005907908270918</v>
      </c>
      <c r="H20" s="8">
        <f t="shared" si="6"/>
        <v>0.14296106704020584</v>
      </c>
      <c r="I20" s="8">
        <f t="shared" si="6"/>
        <v>9.0681931782993372E-2</v>
      </c>
      <c r="J20" s="8">
        <f t="shared" si="6"/>
        <v>8.0330217937510634E-2</v>
      </c>
      <c r="K20" s="8">
        <f t="shared" si="6"/>
        <v>5.2676469607141299E-2</v>
      </c>
      <c r="L20" s="8">
        <f t="shared" si="6"/>
        <v>4.9237148956262827E-2</v>
      </c>
      <c r="M20" s="8">
        <f t="shared" si="6"/>
        <v>3.3283259931870847E-2</v>
      </c>
      <c r="N20" s="8">
        <f t="shared" si="6"/>
        <v>1.1871039867302215</v>
      </c>
    </row>
    <row r="22" spans="4:14">
      <c r="E22" s="3" t="s">
        <v>325</v>
      </c>
      <c r="F22" s="8">
        <f>SUM(F20:N20)</f>
        <v>1.9911521315967251</v>
      </c>
    </row>
    <row r="23" spans="4:14">
      <c r="E23" s="3" t="s">
        <v>326</v>
      </c>
      <c r="F23" s="2">
        <f>SQRT(F22)</f>
        <v>1.411081901094591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7E5B-5F61-40EA-8EC1-E6556D76CEAF}">
  <dimension ref="A1:N23"/>
  <sheetViews>
    <sheetView topLeftCell="A8" workbookViewId="0">
      <selection activeCell="J24" sqref="J24"/>
    </sheetView>
  </sheetViews>
  <sheetFormatPr defaultRowHeight="12.75"/>
  <cols>
    <col min="1" max="1" width="23.7109375" style="2" bestFit="1" customWidth="1"/>
    <col min="2" max="2" width="10.5703125" style="2" bestFit="1" customWidth="1"/>
    <col min="3" max="3" width="16.85546875" style="2" customWidth="1"/>
    <col min="4" max="4" width="18.7109375" style="2" customWidth="1"/>
    <col min="5" max="5" width="13.42578125" style="2" customWidth="1"/>
    <col min="6" max="6" width="11.28515625" style="2" bestFit="1" customWidth="1"/>
    <col min="7" max="7" width="11" style="2" bestFit="1" customWidth="1"/>
    <col min="8" max="8" width="10.7109375" style="2" bestFit="1" customWidth="1"/>
    <col min="9" max="9" width="11.42578125" style="2" bestFit="1" customWidth="1"/>
    <col min="10" max="10" width="11.5703125" style="2" bestFit="1" customWidth="1"/>
    <col min="11" max="11" width="12.28515625" style="2" bestFit="1" customWidth="1"/>
    <col min="12" max="12" width="14.42578125" style="2" bestFit="1" customWidth="1"/>
    <col min="13" max="13" width="15.140625" style="2" bestFit="1" customWidth="1"/>
    <col min="14" max="14" width="12" style="2" bestFit="1" customWidth="1"/>
    <col min="15" max="16384" width="9.140625" style="2"/>
  </cols>
  <sheetData>
    <row r="1" spans="1:14">
      <c r="A1" s="3" t="s">
        <v>285</v>
      </c>
      <c r="E1" s="3" t="s">
        <v>286</v>
      </c>
    </row>
    <row r="3" spans="1:14">
      <c r="A3" s="3" t="s">
        <v>287</v>
      </c>
      <c r="B3" s="3" t="s">
        <v>288</v>
      </c>
      <c r="C3" s="3" t="s">
        <v>289</v>
      </c>
      <c r="D3" s="3" t="s">
        <v>290</v>
      </c>
      <c r="E3" s="3" t="s">
        <v>291</v>
      </c>
      <c r="F3" s="3" t="s">
        <v>292</v>
      </c>
      <c r="G3" s="3" t="s">
        <v>293</v>
      </c>
      <c r="H3" s="3" t="s">
        <v>294</v>
      </c>
      <c r="I3" s="3" t="s">
        <v>295</v>
      </c>
      <c r="J3" s="3" t="s">
        <v>296</v>
      </c>
      <c r="K3" s="3" t="s">
        <v>297</v>
      </c>
      <c r="L3" s="3" t="s">
        <v>298</v>
      </c>
      <c r="M3" s="3" t="s">
        <v>299</v>
      </c>
      <c r="N3" s="3" t="s">
        <v>300</v>
      </c>
    </row>
    <row r="4" spans="1:14">
      <c r="A4" s="2" t="s">
        <v>301</v>
      </c>
      <c r="B4" s="2" t="s">
        <v>302</v>
      </c>
      <c r="C4" s="2">
        <v>-2.7E-2</v>
      </c>
      <c r="D4" s="2">
        <v>0.22</v>
      </c>
      <c r="E4" s="5">
        <f>$C4</f>
        <v>-2.7E-2</v>
      </c>
      <c r="F4" s="5">
        <f>$C4+$D4</f>
        <v>0.193</v>
      </c>
      <c r="G4" s="5">
        <f>$C4</f>
        <v>-2.7E-2</v>
      </c>
      <c r="H4" s="5">
        <f>$C4</f>
        <v>-2.7E-2</v>
      </c>
      <c r="I4" s="5">
        <f>$C4</f>
        <v>-2.7E-2</v>
      </c>
      <c r="J4" s="5">
        <f>$C4</f>
        <v>-2.7E-2</v>
      </c>
      <c r="K4" s="5">
        <f>$C4</f>
        <v>-2.7E-2</v>
      </c>
      <c r="L4" s="5">
        <f>$C4</f>
        <v>-2.7E-2</v>
      </c>
      <c r="M4" s="5">
        <f>$C4</f>
        <v>-2.7E-2</v>
      </c>
      <c r="N4" s="5">
        <f>$C4</f>
        <v>-2.7E-2</v>
      </c>
    </row>
    <row r="5" spans="1:14">
      <c r="A5" s="2" t="s">
        <v>303</v>
      </c>
      <c r="B5" s="2" t="s">
        <v>304</v>
      </c>
      <c r="C5" s="5">
        <f>+'18O proc'!C4</f>
        <v>2.2013333333333338</v>
      </c>
      <c r="D5" s="2">
        <v>0.22</v>
      </c>
      <c r="E5" s="5">
        <f t="shared" ref="E5:E12" si="0">C5</f>
        <v>2.2013333333333338</v>
      </c>
      <c r="F5" s="5">
        <f t="shared" ref="F5:N12" si="1">$C5</f>
        <v>2.2013333333333338</v>
      </c>
      <c r="G5" s="5">
        <f>$C5+$D5</f>
        <v>2.421333333333334</v>
      </c>
      <c r="H5" s="5">
        <f t="shared" si="1"/>
        <v>2.2013333333333338</v>
      </c>
      <c r="I5" s="5">
        <f t="shared" si="1"/>
        <v>2.2013333333333338</v>
      </c>
      <c r="J5" s="5">
        <f t="shared" si="1"/>
        <v>2.2013333333333338</v>
      </c>
      <c r="K5" s="5">
        <f t="shared" si="1"/>
        <v>2.2013333333333338</v>
      </c>
      <c r="L5" s="5">
        <f t="shared" si="1"/>
        <v>2.2013333333333338</v>
      </c>
      <c r="M5" s="5">
        <f t="shared" si="1"/>
        <v>2.2013333333333338</v>
      </c>
      <c r="N5" s="5">
        <f t="shared" si="1"/>
        <v>2.2013333333333338</v>
      </c>
    </row>
    <row r="6" spans="1:14">
      <c r="A6" s="2" t="s">
        <v>305</v>
      </c>
      <c r="B6" s="2" t="s">
        <v>306</v>
      </c>
      <c r="C6" s="2">
        <v>-5.4420000000000002</v>
      </c>
      <c r="D6" s="2">
        <v>0.22</v>
      </c>
      <c r="E6" s="5">
        <f t="shared" si="0"/>
        <v>-5.4420000000000002</v>
      </c>
      <c r="F6" s="5">
        <f t="shared" si="1"/>
        <v>-5.4420000000000002</v>
      </c>
      <c r="G6" s="5">
        <f t="shared" si="1"/>
        <v>-5.4420000000000002</v>
      </c>
      <c r="H6" s="5">
        <f>$C6+$D6</f>
        <v>-5.2220000000000004</v>
      </c>
      <c r="I6" s="5">
        <f t="shared" si="1"/>
        <v>-5.4420000000000002</v>
      </c>
      <c r="J6" s="5">
        <f t="shared" si="1"/>
        <v>-5.4420000000000002</v>
      </c>
      <c r="K6" s="5">
        <f t="shared" si="1"/>
        <v>-5.4420000000000002</v>
      </c>
      <c r="L6" s="5">
        <f t="shared" si="1"/>
        <v>-5.4420000000000002</v>
      </c>
      <c r="M6" s="5">
        <f t="shared" si="1"/>
        <v>-5.4420000000000002</v>
      </c>
      <c r="N6" s="5">
        <f t="shared" si="1"/>
        <v>-5.4420000000000002</v>
      </c>
    </row>
    <row r="7" spans="1:14">
      <c r="A7" s="2" t="s">
        <v>307</v>
      </c>
      <c r="B7" s="2" t="s">
        <v>308</v>
      </c>
      <c r="C7" s="5">
        <f>+'18O proc'!D4</f>
        <v>-4.4946363636363644</v>
      </c>
      <c r="D7" s="2">
        <v>0.22</v>
      </c>
      <c r="E7" s="5">
        <f t="shared" si="0"/>
        <v>-4.4946363636363644</v>
      </c>
      <c r="F7" s="5">
        <f t="shared" si="1"/>
        <v>-4.4946363636363644</v>
      </c>
      <c r="G7" s="5">
        <f t="shared" si="1"/>
        <v>-4.4946363636363644</v>
      </c>
      <c r="H7" s="5">
        <f t="shared" si="1"/>
        <v>-4.4946363636363644</v>
      </c>
      <c r="I7" s="5">
        <f>$C7+$D7</f>
        <v>-4.2746363636363647</v>
      </c>
      <c r="J7" s="5">
        <f t="shared" si="1"/>
        <v>-4.4946363636363644</v>
      </c>
      <c r="K7" s="5">
        <f t="shared" si="1"/>
        <v>-4.4946363636363644</v>
      </c>
      <c r="L7" s="5">
        <f t="shared" si="1"/>
        <v>-4.4946363636363644</v>
      </c>
      <c r="M7" s="5">
        <f t="shared" si="1"/>
        <v>-4.4946363636363644</v>
      </c>
      <c r="N7" s="5">
        <f t="shared" si="1"/>
        <v>-4.4946363636363644</v>
      </c>
    </row>
    <row r="8" spans="1:14">
      <c r="A8" s="2" t="s">
        <v>309</v>
      </c>
      <c r="B8" s="2" t="s">
        <v>310</v>
      </c>
      <c r="C8" s="2">
        <v>-11.362</v>
      </c>
      <c r="D8" s="2">
        <v>0.22</v>
      </c>
      <c r="E8" s="5">
        <f t="shared" si="0"/>
        <v>-11.362</v>
      </c>
      <c r="F8" s="5">
        <f t="shared" si="1"/>
        <v>-11.362</v>
      </c>
      <c r="G8" s="5">
        <f t="shared" si="1"/>
        <v>-11.362</v>
      </c>
      <c r="H8" s="5">
        <f t="shared" si="1"/>
        <v>-11.362</v>
      </c>
      <c r="I8" s="5">
        <f t="shared" si="1"/>
        <v>-11.362</v>
      </c>
      <c r="J8" s="5">
        <f>$C8+$D8</f>
        <v>-11.141999999999999</v>
      </c>
      <c r="K8" s="5">
        <f t="shared" si="1"/>
        <v>-11.362</v>
      </c>
      <c r="L8" s="5">
        <f t="shared" si="1"/>
        <v>-11.362</v>
      </c>
      <c r="M8" s="5">
        <f t="shared" si="1"/>
        <v>-11.362</v>
      </c>
      <c r="N8" s="5">
        <f t="shared" si="1"/>
        <v>-11.362</v>
      </c>
    </row>
    <row r="9" spans="1:14">
      <c r="A9" s="2" t="s">
        <v>311</v>
      </c>
      <c r="B9" s="2" t="s">
        <v>312</v>
      </c>
      <c r="C9" s="5">
        <f>+'18O proc'!E4</f>
        <v>-10.107166666666666</v>
      </c>
      <c r="D9" s="2">
        <v>0.22</v>
      </c>
      <c r="E9" s="5">
        <f t="shared" si="0"/>
        <v>-10.107166666666666</v>
      </c>
      <c r="F9" s="5">
        <f t="shared" si="1"/>
        <v>-10.107166666666666</v>
      </c>
      <c r="G9" s="5">
        <f t="shared" si="1"/>
        <v>-10.107166666666666</v>
      </c>
      <c r="H9" s="5">
        <f t="shared" si="1"/>
        <v>-10.107166666666666</v>
      </c>
      <c r="I9" s="5">
        <f t="shared" si="1"/>
        <v>-10.107166666666666</v>
      </c>
      <c r="J9" s="5">
        <f t="shared" si="1"/>
        <v>-10.107166666666666</v>
      </c>
      <c r="K9" s="5">
        <f>$C9+$D9</f>
        <v>-9.8871666666666655</v>
      </c>
      <c r="L9" s="5">
        <f t="shared" si="1"/>
        <v>-10.107166666666666</v>
      </c>
      <c r="M9" s="5">
        <f t="shared" si="1"/>
        <v>-10.107166666666666</v>
      </c>
      <c r="N9" s="5">
        <f t="shared" si="1"/>
        <v>-10.107166666666666</v>
      </c>
    </row>
    <row r="10" spans="1:14">
      <c r="A10" s="2" t="s">
        <v>313</v>
      </c>
      <c r="B10" s="2" t="s">
        <v>314</v>
      </c>
      <c r="C10" s="2">
        <v>-12.78</v>
      </c>
      <c r="D10" s="2">
        <v>0.22</v>
      </c>
      <c r="E10" s="5">
        <f t="shared" si="0"/>
        <v>-12.78</v>
      </c>
      <c r="F10" s="5">
        <f t="shared" si="1"/>
        <v>-12.78</v>
      </c>
      <c r="G10" s="5">
        <f t="shared" si="1"/>
        <v>-12.78</v>
      </c>
      <c r="H10" s="5">
        <f t="shared" si="1"/>
        <v>-12.78</v>
      </c>
      <c r="I10" s="5">
        <f t="shared" si="1"/>
        <v>-12.78</v>
      </c>
      <c r="J10" s="5">
        <f t="shared" si="1"/>
        <v>-12.78</v>
      </c>
      <c r="K10" s="5">
        <f t="shared" si="1"/>
        <v>-12.78</v>
      </c>
      <c r="L10" s="5">
        <f>$C10+$D10</f>
        <v>-12.559999999999999</v>
      </c>
      <c r="M10" s="5">
        <f t="shared" si="1"/>
        <v>-12.78</v>
      </c>
      <c r="N10" s="5">
        <f t="shared" si="1"/>
        <v>-12.78</v>
      </c>
    </row>
    <row r="11" spans="1:14">
      <c r="A11" s="2" t="s">
        <v>315</v>
      </c>
      <c r="B11" s="2" t="s">
        <v>316</v>
      </c>
      <c r="C11" s="5">
        <f>+'18O proc'!F4</f>
        <v>-11.32</v>
      </c>
      <c r="D11" s="2">
        <v>0.22</v>
      </c>
      <c r="E11" s="5">
        <f t="shared" si="0"/>
        <v>-11.32</v>
      </c>
      <c r="F11" s="5">
        <f t="shared" si="1"/>
        <v>-11.32</v>
      </c>
      <c r="G11" s="5">
        <f t="shared" si="1"/>
        <v>-11.32</v>
      </c>
      <c r="H11" s="5">
        <f t="shared" si="1"/>
        <v>-11.32</v>
      </c>
      <c r="I11" s="5">
        <f t="shared" si="1"/>
        <v>-11.32</v>
      </c>
      <c r="J11" s="5">
        <f t="shared" si="1"/>
        <v>-11.32</v>
      </c>
      <c r="K11" s="5">
        <f t="shared" si="1"/>
        <v>-11.32</v>
      </c>
      <c r="L11" s="5">
        <f t="shared" si="1"/>
        <v>-11.32</v>
      </c>
      <c r="M11" s="5">
        <f>$C11+$D11</f>
        <v>-11.1</v>
      </c>
      <c r="N11" s="5">
        <f t="shared" si="1"/>
        <v>-11.32</v>
      </c>
    </row>
    <row r="12" spans="1:14">
      <c r="A12" s="2" t="s">
        <v>317</v>
      </c>
      <c r="B12" s="2" t="s">
        <v>318</v>
      </c>
      <c r="C12" s="2">
        <v>-5</v>
      </c>
      <c r="D12" s="2">
        <v>0.22</v>
      </c>
      <c r="E12" s="5">
        <f t="shared" si="0"/>
        <v>-5</v>
      </c>
      <c r="F12" s="5">
        <f t="shared" si="1"/>
        <v>-5</v>
      </c>
      <c r="G12" s="5">
        <f t="shared" si="1"/>
        <v>-5</v>
      </c>
      <c r="H12" s="5">
        <f t="shared" si="1"/>
        <v>-5</v>
      </c>
      <c r="I12" s="5">
        <f t="shared" si="1"/>
        <v>-5</v>
      </c>
      <c r="J12" s="5">
        <f t="shared" si="1"/>
        <v>-5</v>
      </c>
      <c r="K12" s="5">
        <f t="shared" si="1"/>
        <v>-5</v>
      </c>
      <c r="L12" s="5">
        <f t="shared" si="1"/>
        <v>-5</v>
      </c>
      <c r="M12" s="5">
        <f t="shared" si="1"/>
        <v>-5</v>
      </c>
      <c r="N12" s="5">
        <f>$C12+$D12</f>
        <v>-4.78</v>
      </c>
    </row>
    <row r="14" spans="1:14">
      <c r="C14" s="3" t="s">
        <v>319</v>
      </c>
    </row>
    <row r="15" spans="1:14">
      <c r="D15" s="3" t="s">
        <v>320</v>
      </c>
      <c r="E15" s="11">
        <f>SLOPE(_xlfn.VSTACK(E5,E7,E9,E11),_xlfn.VSTACK(E4, E6,E8,E10))</f>
        <v>1.0532318578777644</v>
      </c>
      <c r="F15" s="11">
        <f t="shared" ref="F15:N15" si="2">SLOPE(_xlfn.VSTACK(F5,F7,F9,F11),_xlfn.VSTACK(F4, F6,F8,F10))</f>
        <v>1.0375192285041162</v>
      </c>
      <c r="G15" s="11">
        <f t="shared" si="2"/>
        <v>1.0690109026496355</v>
      </c>
      <c r="H15" s="11">
        <f t="shared" si="2"/>
        <v>1.0471483111307509</v>
      </c>
      <c r="I15" s="11">
        <f t="shared" si="2"/>
        <v>1.0574265176800146</v>
      </c>
      <c r="J15" s="11">
        <f t="shared" si="2"/>
        <v>1.0619099192216273</v>
      </c>
      <c r="K15" s="11">
        <f t="shared" si="2"/>
        <v>1.0447617791721373</v>
      </c>
      <c r="L15" s="11">
        <f t="shared" si="2"/>
        <v>1.0658471916257197</v>
      </c>
      <c r="M15" s="11">
        <f t="shared" si="2"/>
        <v>1.0417282320092707</v>
      </c>
      <c r="N15" s="11">
        <f t="shared" si="2"/>
        <v>1.0532318578777644</v>
      </c>
    </row>
    <row r="16" spans="1:14">
      <c r="D16" s="3" t="s">
        <v>321</v>
      </c>
      <c r="E16" s="5">
        <f>+INTERCEPT(_xlfn.VSTACK(E5,E7,E9,E11),_xlfn.VSTACK(E4, E6,E8,E10))</f>
        <v>1.8666947116621957</v>
      </c>
      <c r="F16" s="5">
        <f t="shared" ref="F16:N16" si="3">+INTERCEPT(_xlfn.VSTACK(F5,F7,F9,F11),_xlfn.VSTACK(F4, F6,F8,F10))</f>
        <v>1.6933144869986947</v>
      </c>
      <c r="G16" s="5">
        <f t="shared" si="3"/>
        <v>2.0385030353471647</v>
      </c>
      <c r="H16" s="5">
        <f t="shared" si="3"/>
        <v>1.7640665788685501</v>
      </c>
      <c r="I16" s="5">
        <f t="shared" si="3"/>
        <v>1.9527467295133034</v>
      </c>
      <c r="J16" s="5">
        <f t="shared" si="3"/>
        <v>1.8725311847182864</v>
      </c>
      <c r="K16" s="5">
        <f t="shared" si="3"/>
        <v>1.8589928365241146</v>
      </c>
      <c r="L16" s="5">
        <f t="shared" si="3"/>
        <v>1.9014612780254572</v>
      </c>
      <c r="M16" s="5">
        <f t="shared" si="3"/>
        <v>1.8365362452642042</v>
      </c>
      <c r="N16" s="5">
        <f t="shared" si="3"/>
        <v>1.8666947116621957</v>
      </c>
    </row>
    <row r="17" spans="4:14">
      <c r="D17" s="3" t="s">
        <v>322</v>
      </c>
      <c r="E17" s="5">
        <f>+(E12-E16)/E15</f>
        <v>-6.5196420525091332</v>
      </c>
      <c r="F17" s="5">
        <f t="shared" ref="F17:N17" si="4">+(F12-F16)/F15</f>
        <v>-6.451267892787917</v>
      </c>
      <c r="G17" s="5">
        <f t="shared" si="4"/>
        <v>-6.584126520975258</v>
      </c>
      <c r="H17" s="5">
        <f t="shared" si="4"/>
        <v>-6.4595115199722297</v>
      </c>
      <c r="I17" s="5">
        <f t="shared" si="4"/>
        <v>-6.5751582859559594</v>
      </c>
      <c r="J17" s="5">
        <f t="shared" si="4"/>
        <v>-6.4718589216642828</v>
      </c>
      <c r="K17" s="5">
        <f t="shared" si="4"/>
        <v>-6.5651261112931767</v>
      </c>
      <c r="L17" s="5">
        <f t="shared" si="4"/>
        <v>-6.475094490326299</v>
      </c>
      <c r="M17" s="5">
        <f t="shared" si="4"/>
        <v>-6.5626869227475861</v>
      </c>
      <c r="N17" s="5">
        <f t="shared" si="4"/>
        <v>-6.3107611699622508</v>
      </c>
    </row>
    <row r="18" spans="4:14">
      <c r="E18" s="10"/>
    </row>
    <row r="19" spans="4:14" ht="13.5">
      <c r="E19" s="12" t="s">
        <v>323</v>
      </c>
      <c r="F19" s="5">
        <f>F17-$E$17</f>
        <v>6.8374159721216188E-2</v>
      </c>
      <c r="G19" s="5">
        <f t="shared" ref="G19:N19" si="5">G17-$E$17</f>
        <v>-6.4484468466124767E-2</v>
      </c>
      <c r="H19" s="5">
        <f t="shared" si="5"/>
        <v>6.013053253690348E-2</v>
      </c>
      <c r="I19" s="5">
        <f t="shared" si="5"/>
        <v>-5.5516233446826213E-2</v>
      </c>
      <c r="J19" s="5">
        <f t="shared" si="5"/>
        <v>4.7783130844850419E-2</v>
      </c>
      <c r="K19" s="5">
        <f t="shared" si="5"/>
        <v>-4.5484058784043491E-2</v>
      </c>
      <c r="L19" s="5">
        <f t="shared" si="5"/>
        <v>4.4547562182834177E-2</v>
      </c>
      <c r="M19" s="5">
        <f t="shared" si="5"/>
        <v>-4.3044870238452937E-2</v>
      </c>
      <c r="N19" s="5">
        <f t="shared" si="5"/>
        <v>0.20888088254688242</v>
      </c>
    </row>
    <row r="20" spans="4:14">
      <c r="E20" s="3" t="s">
        <v>324</v>
      </c>
      <c r="F20" s="8">
        <f>POWER(F19,2)</f>
        <v>4.6750257175823817E-3</v>
      </c>
      <c r="G20" s="8">
        <f t="shared" ref="G20:N20" si="6">POWER(G19,2)</f>
        <v>4.1582466733586397E-3</v>
      </c>
      <c r="H20" s="8">
        <f t="shared" si="6"/>
        <v>3.6156809431716081E-3</v>
      </c>
      <c r="I20" s="8">
        <f t="shared" si="6"/>
        <v>3.0820521761225055E-3</v>
      </c>
      <c r="J20" s="8">
        <f t="shared" si="6"/>
        <v>2.2832275933360956E-3</v>
      </c>
      <c r="K20" s="8">
        <f t="shared" si="6"/>
        <v>2.0687996034703237E-3</v>
      </c>
      <c r="L20" s="8">
        <f t="shared" si="6"/>
        <v>1.9844852964334778E-3</v>
      </c>
      <c r="M20" s="8">
        <f t="shared" si="6"/>
        <v>1.8528608538452515E-3</v>
      </c>
      <c r="N20" s="8">
        <f t="shared" si="6"/>
        <v>4.3631223093564486E-2</v>
      </c>
    </row>
    <row r="22" spans="4:14">
      <c r="E22" s="3" t="s">
        <v>325</v>
      </c>
      <c r="F22" s="8">
        <f>SUM(F20:N20)</f>
        <v>6.7351601950884771E-2</v>
      </c>
    </row>
    <row r="23" spans="4:14">
      <c r="E23" s="3" t="s">
        <v>326</v>
      </c>
      <c r="F23" s="5">
        <f>SQRT(F22)</f>
        <v>0.25952187181600855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>1</cp:revision>
  <dcterms:created xsi:type="dcterms:W3CDTF">2026-04-21T18:51:00Z</dcterms:created>
  <dcterms:modified xsi:type="dcterms:W3CDTF">2026-04-24T22:31:53Z</dcterms:modified>
  <cp:category/>
  <cp:contentStatus/>
</cp:coreProperties>
</file>